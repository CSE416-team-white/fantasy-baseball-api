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9A3B73D2-B309-4352-913F-4852B10F1C74}" xr6:coauthVersionLast="47" xr6:coauthVersionMax="47" xr10:uidLastSave="{00000000-0000-0000-0000-000000000000}"/>
  <bookViews>
    <workbookView xWindow="-108" yWindow="-108" windowWidth="23256" windowHeight="13896" tabRatio="840" xr2:uid="{00000000-000D-0000-FFFF-FFFF00000000}"/>
  </bookViews>
  <sheets>
    <sheet name="Pre-Draft Roster" sheetId="35" r:id="rId1"/>
    <sheet name="Minors" sheetId="34" r:id="rId2"/>
    <sheet name="Draft" sheetId="16" r:id="rId3"/>
    <sheet name="Final Roster" sheetId="1" r:id="rId4"/>
    <sheet name="Taxi" sheetId="5" r:id="rId5"/>
  </sheets>
  <definedNames>
    <definedName name="_xlnm.Print_Area" localSheetId="3">'Final Roster'!$A$1:$T$48</definedName>
    <definedName name="_xlnm.Print_Area" localSheetId="4">Taxi!$A$1:$J$19</definedName>
  </definedNames>
  <calcPr calcId="191029"/>
</workbook>
</file>

<file path=xl/calcChain.xml><?xml version="1.0" encoding="utf-8"?>
<calcChain xmlns="http://schemas.openxmlformats.org/spreadsheetml/2006/main">
  <c r="M25" i="35" l="1"/>
  <c r="I25" i="35"/>
  <c r="E25" i="35"/>
  <c r="A25" i="35"/>
  <c r="Q1" i="35"/>
  <c r="M1" i="35"/>
  <c r="I1" i="35"/>
  <c r="E1" i="35"/>
  <c r="A1" i="35"/>
  <c r="M25" i="1"/>
  <c r="I25" i="1"/>
  <c r="E25" i="1"/>
  <c r="A25" i="1"/>
  <c r="Q1" i="1"/>
  <c r="M1" i="1"/>
  <c r="I1" i="1"/>
  <c r="E1" i="1"/>
  <c r="A1" i="1"/>
</calcChain>
</file>

<file path=xl/sharedStrings.xml><?xml version="1.0" encoding="utf-8"?>
<sst xmlns="http://schemas.openxmlformats.org/spreadsheetml/2006/main" count="1722" uniqueCount="425">
  <si>
    <t>C</t>
  </si>
  <si>
    <t>S1</t>
  </si>
  <si>
    <t>1B</t>
  </si>
  <si>
    <t>F1</t>
  </si>
  <si>
    <t>3B</t>
  </si>
  <si>
    <t>2B</t>
  </si>
  <si>
    <t>CI</t>
  </si>
  <si>
    <t>SS</t>
  </si>
  <si>
    <t>MI</t>
  </si>
  <si>
    <t>OF</t>
  </si>
  <si>
    <t>F2</t>
  </si>
  <si>
    <t>U</t>
  </si>
  <si>
    <t>X</t>
  </si>
  <si>
    <t>L2</t>
  </si>
  <si>
    <t>P</t>
  </si>
  <si>
    <t>LX</t>
  </si>
  <si>
    <t>C. Sale</t>
  </si>
  <si>
    <t>M. Harris</t>
  </si>
  <si>
    <t>F. Alvarez</t>
  </si>
  <si>
    <t>N. Lodolo</t>
  </si>
  <si>
    <t>F3</t>
  </si>
  <si>
    <t>B. Pfaadt</t>
  </si>
  <si>
    <t>S. Frelick</t>
  </si>
  <si>
    <t>J. Merrill</t>
  </si>
  <si>
    <t>J. Wood</t>
  </si>
  <si>
    <t>B. Marsh</t>
  </si>
  <si>
    <t>R. Iglesias</t>
  </si>
  <si>
    <t>M. Busch</t>
  </si>
  <si>
    <t>M. Winn</t>
  </si>
  <si>
    <t>M. Yastremski</t>
  </si>
  <si>
    <t>G. Perdomo</t>
  </si>
  <si>
    <t>N. Cortes</t>
  </si>
  <si>
    <t>P. Skenes</t>
  </si>
  <si>
    <t>J. Chourio</t>
  </si>
  <si>
    <t>R. Lopez</t>
  </si>
  <si>
    <t>C.J. Abrams</t>
  </si>
  <si>
    <t>A. Abbott</t>
  </si>
  <si>
    <t>S. Alcantara</t>
  </si>
  <si>
    <t>Y. Yamamoto</t>
  </si>
  <si>
    <t>M. Machado</t>
  </si>
  <si>
    <t>S. Suzuki</t>
  </si>
  <si>
    <t xml:space="preserve">S. Ohtani </t>
  </si>
  <si>
    <t>C. Sanchez</t>
  </si>
  <si>
    <t>S. Imanaga</t>
  </si>
  <si>
    <t>B. Turang</t>
  </si>
  <si>
    <t>P. Crow-Armstrong</t>
  </si>
  <si>
    <t>M. King</t>
  </si>
  <si>
    <t>E. De La Cruz</t>
  </si>
  <si>
    <t>N. Hoerner</t>
  </si>
  <si>
    <t>F. Lindor</t>
  </si>
  <si>
    <t>M. Muncy</t>
  </si>
  <si>
    <t>M. Keller</t>
  </si>
  <si>
    <t>A. Ramirez</t>
  </si>
  <si>
    <t>W. Adames</t>
  </si>
  <si>
    <t>V. Scott II</t>
  </si>
  <si>
    <t>G. Holmes</t>
  </si>
  <si>
    <t>N. Pivetta</t>
  </si>
  <si>
    <t>R. Ray</t>
  </si>
  <si>
    <t>D. Baldwin</t>
  </si>
  <si>
    <t>X. Edwards (2/S)</t>
  </si>
  <si>
    <t>A. Burleson (1/O)</t>
  </si>
  <si>
    <t>C. Horton</t>
  </si>
  <si>
    <t>J. Misorowski</t>
  </si>
  <si>
    <t>P. Smith (1B)</t>
  </si>
  <si>
    <t>R. Acuna</t>
  </si>
  <si>
    <t>J. Luzardo</t>
  </si>
  <si>
    <t>N. Arenado</t>
  </si>
  <si>
    <t>F. Crews</t>
  </si>
  <si>
    <t>M. McGreevy</t>
  </si>
  <si>
    <t>B. Singer</t>
  </si>
  <si>
    <t>C. Kelly</t>
  </si>
  <si>
    <t>F. Freeman</t>
  </si>
  <si>
    <t>D. Swanson (SS)</t>
  </si>
  <si>
    <t>J. Hoo Lee</t>
  </si>
  <si>
    <t>C. Cavalli</t>
  </si>
  <si>
    <t>L. Webb</t>
  </si>
  <si>
    <t>S. Horowitz</t>
  </si>
  <si>
    <t>S. Strider</t>
  </si>
  <si>
    <t>R. Mauricio</t>
  </si>
  <si>
    <t>J. Soto</t>
  </si>
  <si>
    <t>K. Tucker</t>
  </si>
  <si>
    <t>K. Schwarber</t>
  </si>
  <si>
    <t>F. Peralta</t>
  </si>
  <si>
    <t>H. Goodman</t>
  </si>
  <si>
    <t>G. Moreno</t>
  </si>
  <si>
    <t>T. Turner</t>
  </si>
  <si>
    <t>C. Carroll</t>
  </si>
  <si>
    <t>J. Walker</t>
  </si>
  <si>
    <t>M. Boyd</t>
  </si>
  <si>
    <t>B. Woodruff</t>
  </si>
  <si>
    <t>Player</t>
  </si>
  <si>
    <t>Pick #</t>
  </si>
  <si>
    <t>Brought Up</t>
  </si>
  <si>
    <t>Won</t>
  </si>
  <si>
    <t>Salary</t>
  </si>
  <si>
    <t>Brett Baty</t>
  </si>
  <si>
    <t>Adolis Garcia</t>
  </si>
  <si>
    <t>Alex Bregman</t>
  </si>
  <si>
    <t>Matt McLain</t>
  </si>
  <si>
    <t>Ketel Marte</t>
  </si>
  <si>
    <t>Tyler Freeman</t>
  </si>
  <si>
    <t>Dalton Rushing</t>
  </si>
  <si>
    <t xml:space="preserve">Nick Castellanos </t>
  </si>
  <si>
    <t>Heliot Ramos</t>
  </si>
  <si>
    <t>Merrill Kelly</t>
  </si>
  <si>
    <t>Adrian Del Castillo</t>
  </si>
  <si>
    <t>Corbin Burnes</t>
  </si>
  <si>
    <t>Justin Steele</t>
  </si>
  <si>
    <t>Hunter Greene</t>
  </si>
  <si>
    <t>Brenton Doyle</t>
  </si>
  <si>
    <t>Gavin Stone</t>
  </si>
  <si>
    <t>Tommy Edman</t>
  </si>
  <si>
    <t>Blake Snell</t>
  </si>
  <si>
    <t>Kyle Stowers</t>
  </si>
  <si>
    <t>Thomas White</t>
  </si>
  <si>
    <t>Quinn Priester</t>
  </si>
  <si>
    <t>Jett Williams</t>
  </si>
  <si>
    <t>Zack Wheeler</t>
  </si>
  <si>
    <t>Aidan Miller</t>
  </si>
  <si>
    <t>Jason Adam</t>
  </si>
  <si>
    <t>Rafael Devers</t>
  </si>
  <si>
    <t>Drew Gilbert</t>
  </si>
  <si>
    <t>Harrison Bader</t>
  </si>
  <si>
    <t>Riley O'Brien</t>
  </si>
  <si>
    <t>Lars Nootbaar</t>
  </si>
  <si>
    <t>Jacob Young</t>
  </si>
  <si>
    <t>WAS</t>
  </si>
  <si>
    <t>SF</t>
  </si>
  <si>
    <t>SD</t>
  </si>
  <si>
    <t>PIT</t>
  </si>
  <si>
    <t>PHI</t>
  </si>
  <si>
    <t>NYM</t>
  </si>
  <si>
    <t>MIL</t>
  </si>
  <si>
    <t>MIA</t>
  </si>
  <si>
    <t>LAD</t>
  </si>
  <si>
    <t>COL</t>
  </si>
  <si>
    <t>CIN</t>
  </si>
  <si>
    <t>CHC</t>
  </si>
  <si>
    <t>ATL</t>
  </si>
  <si>
    <t>ARZ</t>
  </si>
  <si>
    <t>J. Taillon</t>
  </si>
  <si>
    <t>Kevin Alcantara</t>
  </si>
  <si>
    <t>S2</t>
  </si>
  <si>
    <t>William Contreras</t>
  </si>
  <si>
    <t>Daylen Lile</t>
  </si>
  <si>
    <t>Fernando Tatis</t>
  </si>
  <si>
    <t>Mookie Betts</t>
  </si>
  <si>
    <t>Marcus Semien</t>
  </si>
  <si>
    <t>Bryce Harper</t>
  </si>
  <si>
    <t>Bo Bichette</t>
  </si>
  <si>
    <t>SS/3B</t>
  </si>
  <si>
    <t>Ozzie Albies</t>
  </si>
  <si>
    <t>Eugenio Suarez</t>
  </si>
  <si>
    <t>Austin Riley</t>
  </si>
  <si>
    <t>Zac Gallen</t>
  </si>
  <si>
    <t>Mason Miller</t>
  </si>
  <si>
    <t>Otto Lopez</t>
  </si>
  <si>
    <t>2B/SS</t>
  </si>
  <si>
    <t>Ezekiel Tovar</t>
  </si>
  <si>
    <t>Tovar</t>
  </si>
  <si>
    <t>Matt Chapman</t>
  </si>
  <si>
    <t>Alex Bohm</t>
  </si>
  <si>
    <t>Matt Olson</t>
  </si>
  <si>
    <t>Tyler Glasnow</t>
  </si>
  <si>
    <t>Will Smith</t>
  </si>
  <si>
    <t>Edwin Diaz</t>
  </si>
  <si>
    <t>Luis Garcia</t>
  </si>
  <si>
    <t>Eury Perez</t>
  </si>
  <si>
    <t>Luis Robert</t>
  </si>
  <si>
    <t>Brandon Lowe</t>
  </si>
  <si>
    <t>Devin Williams</t>
  </si>
  <si>
    <t>Ian Happ</t>
  </si>
  <si>
    <t>I Happ</t>
  </si>
  <si>
    <t>Aaron Nola</t>
  </si>
  <si>
    <t>A Nola</t>
  </si>
  <si>
    <t>TJ Friedl</t>
  </si>
  <si>
    <t>Jhoan Duran</t>
  </si>
  <si>
    <t>Xander Boegarts</t>
  </si>
  <si>
    <t>X Boegarts</t>
  </si>
  <si>
    <t>Devers</t>
  </si>
  <si>
    <t>M Kelly</t>
  </si>
  <si>
    <t>Jorge Polanco</t>
  </si>
  <si>
    <t>J Polanco</t>
  </si>
  <si>
    <t>Mickey Moniak</t>
  </si>
  <si>
    <t>M Moniak</t>
  </si>
  <si>
    <t>Z Wheeler</t>
  </si>
  <si>
    <t>Emmet Sheehan</t>
  </si>
  <si>
    <t>Emmett Sheehan</t>
  </si>
  <si>
    <t>Teoscar Hernandez</t>
  </si>
  <si>
    <t>Daniel Palencia</t>
  </si>
  <si>
    <t>Spencer Steer</t>
  </si>
  <si>
    <t>1B/OF</t>
  </si>
  <si>
    <t>S Steer</t>
  </si>
  <si>
    <t>B Doyle</t>
  </si>
  <si>
    <t>Bryson Stott</t>
  </si>
  <si>
    <t>Joe Musgrove</t>
  </si>
  <si>
    <t>J Musgrove</t>
  </si>
  <si>
    <t>Carlos Santana</t>
  </si>
  <si>
    <t>JT Realmuto</t>
  </si>
  <si>
    <t>Trevor McGill</t>
  </si>
  <si>
    <t>T McGill</t>
  </si>
  <si>
    <t>Miguel Amaya</t>
  </si>
  <si>
    <t>Oneil Cruz</t>
  </si>
  <si>
    <t>Christian Yelich</t>
  </si>
  <si>
    <t>Yelich</t>
  </si>
  <si>
    <t>Luis Arraez</t>
  </si>
  <si>
    <t>Jakob Marsee</t>
  </si>
  <si>
    <t>J Marsee</t>
  </si>
  <si>
    <t>Noelvi Marte</t>
  </si>
  <si>
    <t>Liam Hicks</t>
  </si>
  <si>
    <t>Emilio Pagan</t>
  </si>
  <si>
    <t>Pagan</t>
  </si>
  <si>
    <t>Ryan O'Hearn</t>
  </si>
  <si>
    <t>Andy Pages</t>
  </si>
  <si>
    <t>Ryan Reynolds</t>
  </si>
  <si>
    <t>Reynolds</t>
  </si>
  <si>
    <t>Freddy Fermin</t>
  </si>
  <si>
    <t>F Fermin</t>
  </si>
  <si>
    <t>Ryan Walker</t>
  </si>
  <si>
    <t>R Walker</t>
  </si>
  <si>
    <t>Tyler Stephenson</t>
  </si>
  <si>
    <t>T Stephenson</t>
  </si>
  <si>
    <t>Tanner Scott</t>
  </si>
  <si>
    <t>Edward Cabrera</t>
  </si>
  <si>
    <t>Patrick Bailey</t>
  </si>
  <si>
    <t>Ramos</t>
  </si>
  <si>
    <t>Odalis Garcia</t>
  </si>
  <si>
    <t>Andrew Vaughn</t>
  </si>
  <si>
    <t>Ramon Laureano</t>
  </si>
  <si>
    <t>Matt Svanson</t>
  </si>
  <si>
    <t>StL</t>
  </si>
  <si>
    <t>Svanson</t>
  </si>
  <si>
    <t>Pete Fairbanks</t>
  </si>
  <si>
    <t>Fairbanks</t>
  </si>
  <si>
    <t>2B/3B</t>
  </si>
  <si>
    <t>Santana</t>
  </si>
  <si>
    <t>Jordan Beck</t>
  </si>
  <si>
    <t>Willy Castro</t>
  </si>
  <si>
    <t>2B/3B/OF</t>
  </si>
  <si>
    <t>Conor Norby</t>
  </si>
  <si>
    <t>Connor Norby</t>
  </si>
  <si>
    <t>Joey Wentz</t>
  </si>
  <si>
    <t>Kevin Ginkel</t>
  </si>
  <si>
    <t>Senga</t>
  </si>
  <si>
    <t>Wentz</t>
  </si>
  <si>
    <t>Tyler Mahle</t>
  </si>
  <si>
    <t>Abner Uribe</t>
  </si>
  <si>
    <t>Robert Suarez</t>
  </si>
  <si>
    <t>Ryne Nelson</t>
  </si>
  <si>
    <t>Nolan Gorman</t>
  </si>
  <si>
    <t>Kyle Karros</t>
  </si>
  <si>
    <t>Ben Brown</t>
  </si>
  <si>
    <t>Tobias Meyer</t>
  </si>
  <si>
    <t>Lourdes Guerriel</t>
  </si>
  <si>
    <t>Lordes Guerriel</t>
  </si>
  <si>
    <t>Matt Shaw</t>
  </si>
  <si>
    <t>Gavin Sheets</t>
  </si>
  <si>
    <t>Jake Cronenworth</t>
  </si>
  <si>
    <t>Eduardo Rodriguez</t>
  </si>
  <si>
    <t>Luis Torrens</t>
  </si>
  <si>
    <t>Sean Manaea</t>
  </si>
  <si>
    <t>Dustin May</t>
  </si>
  <si>
    <t>Jake Magnum</t>
  </si>
  <si>
    <t>Marcell Ozuna</t>
  </si>
  <si>
    <t>Marcel Ozuna</t>
  </si>
  <si>
    <t>Garrett Mitchell</t>
  </si>
  <si>
    <t>TJ Rumfield</t>
  </si>
  <si>
    <t>David Peterson</t>
  </si>
  <si>
    <t>Mark Vientos</t>
  </si>
  <si>
    <t>Keibert Ruiz</t>
  </si>
  <si>
    <t>Joey Bart</t>
  </si>
  <si>
    <t>Joseph Ortiz</t>
  </si>
  <si>
    <t>Brady House</t>
  </si>
  <si>
    <t>Max Meyer</t>
  </si>
  <si>
    <t>Matthew Libartore</t>
  </si>
  <si>
    <t>Mike Tauchman</t>
  </si>
  <si>
    <t>Henry Davis</t>
  </si>
  <si>
    <t>Braxton Ashcraft</t>
  </si>
  <si>
    <t>Brandon Ashcraft</t>
  </si>
  <si>
    <t>Chad Patrick</t>
  </si>
  <si>
    <t>Jake McCarthy</t>
  </si>
  <si>
    <t>Jorge Mateo</t>
  </si>
  <si>
    <t>Nick Castellanos</t>
  </si>
  <si>
    <t>Alex Vesia</t>
  </si>
  <si>
    <t>Luke Weaver</t>
  </si>
  <si>
    <t>Jaxon Wiggins</t>
  </si>
  <si>
    <t>Clay Holmes</t>
  </si>
  <si>
    <t>Spencer Shellenbach</t>
  </si>
  <si>
    <t>JP Sears</t>
  </si>
  <si>
    <t>Jeremiah Estrada</t>
  </si>
  <si>
    <t>Clayton Beeter</t>
  </si>
  <si>
    <t>Estuary Ruiz</t>
  </si>
  <si>
    <t>Jared Triolo</t>
  </si>
  <si>
    <t>Ha Seong Kim</t>
  </si>
  <si>
    <t>Gary Sanchez</t>
  </si>
  <si>
    <t>Garcia</t>
  </si>
  <si>
    <t>Ivan Herrera</t>
  </si>
  <si>
    <t>Luis Rianfro</t>
  </si>
  <si>
    <t>Tyler Fitzgerald</t>
  </si>
  <si>
    <t>Adrian Hauser</t>
  </si>
  <si>
    <t>Nunez</t>
  </si>
  <si>
    <t>Romero</t>
  </si>
  <si>
    <t>Javier Sonova</t>
  </si>
  <si>
    <t>Boston Griffin</t>
  </si>
  <si>
    <t>Rafael Marchan</t>
  </si>
  <si>
    <t>Nate Lowe</t>
  </si>
  <si>
    <t>Encarnacion</t>
  </si>
  <si>
    <t>Griffin Conine</t>
  </si>
  <si>
    <t>Will Benson</t>
  </si>
  <si>
    <t>Phil Maton</t>
  </si>
  <si>
    <t>Hilton Waltrip</t>
  </si>
  <si>
    <t>Miguel Andujar</t>
  </si>
  <si>
    <t>Hassel</t>
  </si>
  <si>
    <t>Hae Seong Kim</t>
  </si>
  <si>
    <t>Braxton Garrett</t>
  </si>
  <si>
    <t>Victor Zodnik</t>
  </si>
  <si>
    <t>Jose Trevino</t>
  </si>
  <si>
    <t>Landen Roupp</t>
  </si>
  <si>
    <t>Christopher Morell</t>
  </si>
  <si>
    <t>Keybron Hayes</t>
  </si>
  <si>
    <t>Kyle Leahy</t>
  </si>
  <si>
    <t>Emanuel Valdez</t>
  </si>
  <si>
    <t>Dylan Moore</t>
  </si>
  <si>
    <t>Johan Rojas</t>
  </si>
  <si>
    <t>Adrian Morejon</t>
  </si>
  <si>
    <t>Josia Grey</t>
  </si>
  <si>
    <t>Blake Perkins</t>
  </si>
  <si>
    <t>Pedro Pages</t>
  </si>
  <si>
    <t>Jose Quintana</t>
  </si>
  <si>
    <t>Jose Alvarado</t>
  </si>
  <si>
    <t>Mauricio Dubon</t>
  </si>
  <si>
    <t>Eli White</t>
  </si>
  <si>
    <t>Brad Lord</t>
  </si>
  <si>
    <t>Colin Rea</t>
  </si>
  <si>
    <t>Casey Schmidt</t>
  </si>
  <si>
    <t>Paul Sewald</t>
  </si>
  <si>
    <t>Seth Halvorsen</t>
  </si>
  <si>
    <t>Justin Robleski</t>
  </si>
  <si>
    <t>Tim Tawa</t>
  </si>
  <si>
    <t>Jose Urquidy</t>
  </si>
  <si>
    <t>Jake Bowers</t>
  </si>
  <si>
    <t>Chris Paddack</t>
  </si>
  <si>
    <t>Albert Alsoy</t>
  </si>
  <si>
    <t>Tyrone Taylor</t>
  </si>
  <si>
    <t>Endy Rodriguez</t>
  </si>
  <si>
    <t>Calvin Faucher</t>
  </si>
  <si>
    <t>Dylan Lee</t>
  </si>
  <si>
    <t>Team A</t>
  </si>
  <si>
    <t>Team B</t>
  </si>
  <si>
    <t>Team C</t>
  </si>
  <si>
    <t>Team D</t>
  </si>
  <si>
    <t>Team E</t>
  </si>
  <si>
    <t>Team F</t>
  </si>
  <si>
    <t>Team G</t>
  </si>
  <si>
    <t>Team H</t>
  </si>
  <si>
    <t>Team I</t>
  </si>
  <si>
    <t>DTeam D Santana</t>
  </si>
  <si>
    <t>Miguel Rojas</t>
  </si>
  <si>
    <t>Jeferson Quero</t>
  </si>
  <si>
    <t>Edwin Arroyo</t>
  </si>
  <si>
    <t>Starlyn Caba</t>
  </si>
  <si>
    <t>Emil Morales</t>
  </si>
  <si>
    <t>Eli Willits</t>
  </si>
  <si>
    <t>Edwin Florentino</t>
  </si>
  <si>
    <t>Robby Snelling</t>
  </si>
  <si>
    <t>Kody Hoese</t>
  </si>
  <si>
    <t>Jesus Made</t>
  </si>
  <si>
    <t>Hedbert Perez</t>
  </si>
  <si>
    <t>Esmerlyn Valdez</t>
  </si>
  <si>
    <t>Moises Ballesteros</t>
  </si>
  <si>
    <t>Liam Doyle</t>
  </si>
  <si>
    <t>James Triantos</t>
  </si>
  <si>
    <t>Cam Collier</t>
  </si>
  <si>
    <t>Josuar De Jesus Gonzalez</t>
  </si>
  <si>
    <t>Luis Pena</t>
  </si>
  <si>
    <t>Jefferson Rojas</t>
  </si>
  <si>
    <t>Joendry Vargas</t>
  </si>
  <si>
    <t>Jodue De Paula</t>
  </si>
  <si>
    <t>Harry Ford</t>
  </si>
  <si>
    <t>Cooper Pratt</t>
  </si>
  <si>
    <t>Bubba Chandler</t>
  </si>
  <si>
    <t>Nolan McLean</t>
  </si>
  <si>
    <t>Cam Caminiti</t>
  </si>
  <si>
    <t>Chase Burns</t>
  </si>
  <si>
    <t>Andrew Painter</t>
  </si>
  <si>
    <t>Rhett Lowder</t>
  </si>
  <si>
    <t>Aiva Arquette</t>
  </si>
  <si>
    <t>Cristian Hernandez</t>
  </si>
  <si>
    <t>Ethan Holliday</t>
  </si>
  <si>
    <t>Seaver King</t>
  </si>
  <si>
    <t>Ethan Conrad</t>
  </si>
  <si>
    <t>Joe Mack</t>
  </si>
  <si>
    <t>Ryan Clifford</t>
  </si>
  <si>
    <t>Roki Sasaki</t>
  </si>
  <si>
    <t>Logan Henderson</t>
  </si>
  <si>
    <t>Jonah Tong</t>
  </si>
  <si>
    <t>Sal Stewart</t>
  </si>
  <si>
    <t>Justin Crawford</t>
  </si>
  <si>
    <t>Termarr Johnson</t>
  </si>
  <si>
    <t>Steele Hall</t>
  </si>
  <si>
    <t>A.J. Ewing</t>
  </si>
  <si>
    <t>Tink Hence</t>
  </si>
  <si>
    <t>Owen Caissie</t>
  </si>
  <si>
    <t>Delvin Perez</t>
  </si>
  <si>
    <t>Ed Howard</t>
  </si>
  <si>
    <t>Hunter Bishop</t>
  </si>
  <si>
    <t>Hudson Head</t>
  </si>
  <si>
    <t>Mike Sirota</t>
  </si>
  <si>
    <t>Ryan Waldschmidt</t>
  </si>
  <si>
    <t>Seth Hernandez</t>
  </si>
  <si>
    <t>Konnor Griffin</t>
  </si>
  <si>
    <t>Ethan Salas</t>
  </si>
  <si>
    <t>Rainiel Rodriguez</t>
  </si>
  <si>
    <t>Alfredo Duno</t>
  </si>
  <si>
    <t>Alex Call</t>
  </si>
  <si>
    <t>Troy Johnston</t>
  </si>
  <si>
    <t>Nathan Church</t>
  </si>
  <si>
    <t>Alex Freeland</t>
  </si>
  <si>
    <t>Jose Fernandez</t>
  </si>
  <si>
    <t>Santiago Espinal</t>
  </si>
  <si>
    <t>Ramon Urias</t>
  </si>
  <si>
    <t>Curtis Mead</t>
  </si>
  <si>
    <t>Jorbit Vivas</t>
  </si>
  <si>
    <t>Edmundo Sosa</t>
  </si>
  <si>
    <t>Luken Baker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</si>
</sst>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8" x14ac:knownFonts="1">
    <font>
      <sz val="10"/>
      <name val="Arial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3" fillId="0" borderId="0" xfId="0" applyFont="1"/>
    <xf numFmtId="0" fontId="3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7" fillId="0" borderId="0" xfId="0" applyFont="1" applyAlignment="1" applyProtection="1">
      <alignment horizontal="left"/>
      <protection locked="0"/>
    </xf>
    <xf numFmtId="165" fontId="0" fillId="0" borderId="0" xfId="1" applyNumberFormat="1" applyFont="1"/>
    <xf numFmtId="165" fontId="5" fillId="0" borderId="0" xfId="1" quotePrefix="1" applyNumberFormat="1" applyFont="1"/>
    <xf numFmtId="164" fontId="3" fillId="0" borderId="1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7" fillId="0" borderId="2" xfId="0" applyFont="1" applyBorder="1" applyAlignment="1">
      <alignment horizontal="center"/>
    </xf>
    <xf numFmtId="6" fontId="3" fillId="0" borderId="0" xfId="0" applyNumberFormat="1" applyFont="1"/>
    <xf numFmtId="0" fontId="7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5" fontId="4" fillId="0" borderId="0" xfId="1" applyNumberFormat="1" applyFont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9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2" fillId="0" borderId="1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34" Type="http://schemas.microsoft.com/office/2017/10/relationships/person" Target="persons/person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913CA-8457-458C-92A6-EF0AC227CB9F}">
  <dimension ref="A1:W71"/>
  <sheetViews>
    <sheetView tabSelected="1" workbookViewId="0">
      <selection activeCell="N30" sqref="N30"/>
    </sheetView>
  </sheetViews>
  <sheetFormatPr defaultColWidth="8.88671875" defaultRowHeight="15" x14ac:dyDescent="0.25"/>
  <cols>
    <col min="1" max="1" width="3.6640625" style="21" bestFit="1" customWidth="1"/>
    <col min="2" max="2" width="23.77734375" style="2" customWidth="1"/>
    <col min="3" max="3" width="3.44140625" style="2" bestFit="1" customWidth="1"/>
    <col min="4" max="4" width="5.109375" style="2" customWidth="1"/>
    <col min="5" max="5" width="3.6640625" style="21" customWidth="1"/>
    <col min="6" max="6" width="23.77734375" style="2" customWidth="1"/>
    <col min="7" max="7" width="3.44140625" style="21" bestFit="1" customWidth="1"/>
    <col min="8" max="8" width="5.33203125" style="2" customWidth="1"/>
    <col min="9" max="9" width="3.6640625" style="21" customWidth="1"/>
    <col min="10" max="10" width="23.77734375" style="2" customWidth="1"/>
    <col min="11" max="11" width="2.88671875" style="21" customWidth="1"/>
    <col min="12" max="12" width="5" style="2" customWidth="1"/>
    <col min="13" max="13" width="3.6640625" style="21" customWidth="1"/>
    <col min="14" max="14" width="23.77734375" style="2" customWidth="1"/>
    <col min="15" max="15" width="3.44140625" style="2" bestFit="1" customWidth="1"/>
    <col min="16" max="16" width="5.33203125" style="2" customWidth="1"/>
    <col min="17" max="17" width="3.6640625" style="21" customWidth="1"/>
    <col min="18" max="18" width="23.77734375" style="2" customWidth="1"/>
    <col min="19" max="19" width="3.44140625" style="2" bestFit="1" customWidth="1"/>
    <col min="20" max="20" width="5" style="2" customWidth="1"/>
    <col min="21" max="16384" width="8.88671875" style="2"/>
  </cols>
  <sheetData>
    <row r="1" spans="1:20" ht="21" customHeight="1" thickBot="1" x14ac:dyDescent="0.35">
      <c r="A1" s="45" t="str">
        <f>"Team A $"&amp;260-SUM(D2:D24)</f>
        <v>Team A $182</v>
      </c>
      <c r="B1" s="48"/>
      <c r="C1" s="48"/>
      <c r="D1" s="49"/>
      <c r="E1" s="45" t="str">
        <f>"Team B $"&amp;260-SUM(H2:H24)</f>
        <v>Team B $149</v>
      </c>
      <c r="F1" s="48"/>
      <c r="G1" s="48"/>
      <c r="H1" s="49"/>
      <c r="I1" s="45" t="str">
        <f>"Team C $"&amp;260-SUM(L2:L24)</f>
        <v>Team C $177</v>
      </c>
      <c r="J1" s="48"/>
      <c r="K1" s="48"/>
      <c r="L1" s="49"/>
      <c r="M1" s="45" t="str">
        <f>"Team D $"&amp;260-SUM(P2:P24)</f>
        <v>Team D $162</v>
      </c>
      <c r="N1" s="48"/>
      <c r="O1" s="48"/>
      <c r="P1" s="49"/>
      <c r="Q1" s="45" t="str">
        <f>"Team E $"&amp;260-SUM(T2:T24)</f>
        <v>Team E $92</v>
      </c>
      <c r="R1" s="48"/>
      <c r="S1" s="48"/>
      <c r="T1" s="49"/>
    </row>
    <row r="2" spans="1:20" ht="17.25" customHeight="1" x14ac:dyDescent="0.25">
      <c r="A2" s="13" t="s">
        <v>0</v>
      </c>
      <c r="B2" s="5" t="s">
        <v>58</v>
      </c>
      <c r="C2" s="14" t="s">
        <v>3</v>
      </c>
      <c r="D2" s="15">
        <v>5</v>
      </c>
      <c r="E2" s="16" t="s">
        <v>0</v>
      </c>
      <c r="F2" s="5" t="s">
        <v>18</v>
      </c>
      <c r="G2" s="14" t="s">
        <v>1</v>
      </c>
      <c r="H2" s="15">
        <v>10</v>
      </c>
      <c r="I2" s="16" t="s">
        <v>0</v>
      </c>
      <c r="J2" s="5" t="s">
        <v>83</v>
      </c>
      <c r="K2" s="14" t="s">
        <v>1</v>
      </c>
      <c r="L2" s="15">
        <v>1</v>
      </c>
      <c r="M2" s="16" t="s">
        <v>0</v>
      </c>
      <c r="N2" s="32"/>
      <c r="O2" s="14"/>
      <c r="P2" s="15"/>
      <c r="Q2" s="16" t="s">
        <v>0</v>
      </c>
      <c r="R2" s="5"/>
      <c r="S2" s="14"/>
      <c r="T2" s="15"/>
    </row>
    <row r="3" spans="1:20" ht="17.25" customHeight="1" thickBot="1" x14ac:dyDescent="0.3">
      <c r="A3" s="17" t="s">
        <v>0</v>
      </c>
      <c r="B3" s="3"/>
      <c r="C3" s="18"/>
      <c r="D3" s="19"/>
      <c r="E3" s="20" t="s">
        <v>0</v>
      </c>
      <c r="F3" s="3"/>
      <c r="G3" s="18"/>
      <c r="H3" s="19"/>
      <c r="I3" s="20" t="s">
        <v>0</v>
      </c>
      <c r="J3" s="3" t="s">
        <v>84</v>
      </c>
      <c r="K3" s="18" t="s">
        <v>1</v>
      </c>
      <c r="L3" s="19">
        <v>10</v>
      </c>
      <c r="M3" s="20" t="s">
        <v>0</v>
      </c>
      <c r="N3" s="3"/>
      <c r="O3" s="18"/>
      <c r="P3" s="19"/>
      <c r="Q3" s="20" t="s">
        <v>0</v>
      </c>
      <c r="R3" s="4"/>
      <c r="S3" s="21"/>
      <c r="T3" s="19"/>
    </row>
    <row r="4" spans="1:20" ht="17.25" customHeight="1" x14ac:dyDescent="0.25">
      <c r="A4" s="13" t="s">
        <v>2</v>
      </c>
      <c r="C4" s="21"/>
      <c r="D4" s="15"/>
      <c r="E4" s="22" t="s">
        <v>2</v>
      </c>
      <c r="F4" s="2" t="s">
        <v>76</v>
      </c>
      <c r="G4" s="21" t="s">
        <v>1</v>
      </c>
      <c r="H4" s="15">
        <v>3</v>
      </c>
      <c r="I4" s="22" t="s">
        <v>2</v>
      </c>
      <c r="J4" s="32"/>
      <c r="L4" s="15"/>
      <c r="M4" s="16" t="s">
        <v>2</v>
      </c>
      <c r="O4" s="14"/>
      <c r="P4" s="23"/>
      <c r="Q4" s="16" t="s">
        <v>2</v>
      </c>
      <c r="R4" s="5"/>
      <c r="S4" s="14"/>
      <c r="T4" s="15"/>
    </row>
    <row r="5" spans="1:20" ht="17.25" customHeight="1" x14ac:dyDescent="0.25">
      <c r="A5" s="24" t="s">
        <v>4</v>
      </c>
      <c r="B5" s="4"/>
      <c r="C5" s="21"/>
      <c r="D5" s="23"/>
      <c r="E5" s="25" t="s">
        <v>4</v>
      </c>
      <c r="F5" s="4" t="s">
        <v>78</v>
      </c>
      <c r="G5" s="21" t="s">
        <v>3</v>
      </c>
      <c r="H5" s="23">
        <v>5</v>
      </c>
      <c r="I5" s="25" t="s">
        <v>4</v>
      </c>
      <c r="J5" s="4"/>
      <c r="L5" s="23"/>
      <c r="M5" s="26" t="s">
        <v>4</v>
      </c>
      <c r="N5" s="4" t="s">
        <v>50</v>
      </c>
      <c r="O5" s="21" t="s">
        <v>1</v>
      </c>
      <c r="P5" s="23">
        <v>9</v>
      </c>
      <c r="Q5" s="26" t="s">
        <v>4</v>
      </c>
      <c r="R5" s="4"/>
      <c r="S5" s="21"/>
      <c r="T5" s="23"/>
    </row>
    <row r="6" spans="1:20" ht="17.25" customHeight="1" thickBot="1" x14ac:dyDescent="0.3">
      <c r="A6" s="17" t="s">
        <v>6</v>
      </c>
      <c r="B6" s="3"/>
      <c r="C6" s="18"/>
      <c r="D6" s="19"/>
      <c r="E6" s="27" t="s">
        <v>6</v>
      </c>
      <c r="F6" s="32"/>
      <c r="G6" s="18"/>
      <c r="H6" s="19"/>
      <c r="I6" s="27" t="s">
        <v>6</v>
      </c>
      <c r="J6" s="3"/>
      <c r="K6" s="18"/>
      <c r="L6" s="19"/>
      <c r="M6" s="20" t="s">
        <v>6</v>
      </c>
      <c r="N6" s="3"/>
      <c r="O6" s="18"/>
      <c r="P6" s="19"/>
      <c r="Q6" s="20" t="s">
        <v>6</v>
      </c>
      <c r="R6" s="4"/>
      <c r="S6" s="21"/>
      <c r="T6" s="23"/>
    </row>
    <row r="7" spans="1:20" ht="17.25" customHeight="1" x14ac:dyDescent="0.25">
      <c r="A7" s="24" t="s">
        <v>5</v>
      </c>
      <c r="B7" s="2" t="s">
        <v>59</v>
      </c>
      <c r="C7" s="21" t="s">
        <v>1</v>
      </c>
      <c r="D7" s="23">
        <v>23</v>
      </c>
      <c r="E7" s="25" t="s">
        <v>5</v>
      </c>
      <c r="F7" s="4"/>
      <c r="H7" s="23"/>
      <c r="I7" s="25" t="s">
        <v>5</v>
      </c>
      <c r="J7" s="2" t="s">
        <v>44</v>
      </c>
      <c r="K7" s="21" t="s">
        <v>13</v>
      </c>
      <c r="L7" s="23">
        <v>7</v>
      </c>
      <c r="M7" s="16" t="s">
        <v>5</v>
      </c>
      <c r="N7" s="5" t="s">
        <v>48</v>
      </c>
      <c r="O7" s="14" t="s">
        <v>1</v>
      </c>
      <c r="P7" s="15">
        <v>17</v>
      </c>
      <c r="Q7" s="16" t="s">
        <v>5</v>
      </c>
      <c r="R7" s="5"/>
      <c r="S7" s="14"/>
      <c r="T7" s="15"/>
    </row>
    <row r="8" spans="1:20" ht="17.25" customHeight="1" x14ac:dyDescent="0.25">
      <c r="A8" s="24" t="s">
        <v>7</v>
      </c>
      <c r="B8" s="4"/>
      <c r="C8" s="21"/>
      <c r="D8" s="23"/>
      <c r="E8" s="25" t="s">
        <v>7</v>
      </c>
      <c r="F8" s="4" t="s">
        <v>35</v>
      </c>
      <c r="G8" s="21" t="s">
        <v>12</v>
      </c>
      <c r="H8" s="23">
        <v>20</v>
      </c>
      <c r="I8" s="25" t="s">
        <v>7</v>
      </c>
      <c r="J8" s="4" t="s">
        <v>85</v>
      </c>
      <c r="K8" s="21" t="s">
        <v>1</v>
      </c>
      <c r="L8" s="23">
        <v>34</v>
      </c>
      <c r="M8" s="26" t="s">
        <v>7</v>
      </c>
      <c r="N8" s="2" t="s">
        <v>49</v>
      </c>
      <c r="O8" s="21" t="s">
        <v>1</v>
      </c>
      <c r="P8" s="23">
        <v>36</v>
      </c>
      <c r="Q8" s="26" t="s">
        <v>7</v>
      </c>
      <c r="R8" s="4" t="s">
        <v>30</v>
      </c>
      <c r="S8" s="21" t="s">
        <v>12</v>
      </c>
      <c r="T8" s="23">
        <v>1</v>
      </c>
    </row>
    <row r="9" spans="1:20" ht="17.25" customHeight="1" thickBot="1" x14ac:dyDescent="0.3">
      <c r="A9" s="17" t="s">
        <v>8</v>
      </c>
      <c r="B9" s="3"/>
      <c r="C9" s="18"/>
      <c r="D9" s="19"/>
      <c r="E9" s="27" t="s">
        <v>8</v>
      </c>
      <c r="F9" s="3"/>
      <c r="G9" s="18"/>
      <c r="H9" s="19"/>
      <c r="I9" s="27" t="s">
        <v>8</v>
      </c>
      <c r="J9" s="3"/>
      <c r="K9" s="18"/>
      <c r="L9" s="19"/>
      <c r="M9" s="20" t="s">
        <v>8</v>
      </c>
      <c r="N9" s="32"/>
      <c r="O9" s="18"/>
      <c r="P9" s="19"/>
      <c r="Q9" s="20" t="s">
        <v>8</v>
      </c>
      <c r="R9" s="3"/>
      <c r="S9" s="18"/>
      <c r="T9" s="19"/>
    </row>
    <row r="10" spans="1:20" ht="17.25" customHeight="1" x14ac:dyDescent="0.25">
      <c r="A10" s="24" t="s">
        <v>9</v>
      </c>
      <c r="B10" s="4" t="s">
        <v>60</v>
      </c>
      <c r="C10" s="21" t="s">
        <v>20</v>
      </c>
      <c r="D10" s="23">
        <v>15</v>
      </c>
      <c r="E10" s="25" t="s">
        <v>9</v>
      </c>
      <c r="F10" s="4" t="s">
        <v>23</v>
      </c>
      <c r="G10" s="21" t="s">
        <v>10</v>
      </c>
      <c r="H10" s="23">
        <v>10</v>
      </c>
      <c r="I10" s="25" t="s">
        <v>9</v>
      </c>
      <c r="J10" s="4" t="s">
        <v>86</v>
      </c>
      <c r="K10" s="21" t="s">
        <v>20</v>
      </c>
      <c r="L10" s="23">
        <v>15</v>
      </c>
      <c r="M10" s="16" t="s">
        <v>9</v>
      </c>
      <c r="N10" s="5" t="s">
        <v>25</v>
      </c>
      <c r="O10" s="14" t="s">
        <v>12</v>
      </c>
      <c r="P10" s="15">
        <v>1</v>
      </c>
      <c r="Q10" s="22" t="s">
        <v>9</v>
      </c>
      <c r="R10" s="4" t="s">
        <v>79</v>
      </c>
      <c r="S10" s="21" t="s">
        <v>1</v>
      </c>
      <c r="T10" s="23">
        <v>47</v>
      </c>
    </row>
    <row r="11" spans="1:20" ht="17.25" customHeight="1" x14ac:dyDescent="0.25">
      <c r="A11" s="24" t="s">
        <v>9</v>
      </c>
      <c r="B11" s="4"/>
      <c r="C11" s="21"/>
      <c r="D11" s="23"/>
      <c r="E11" s="25" t="s">
        <v>9</v>
      </c>
      <c r="F11" s="4" t="s">
        <v>17</v>
      </c>
      <c r="G11" s="21" t="s">
        <v>12</v>
      </c>
      <c r="H11" s="23">
        <v>20</v>
      </c>
      <c r="I11" s="25" t="s">
        <v>9</v>
      </c>
      <c r="J11" s="4" t="s">
        <v>45</v>
      </c>
      <c r="K11" s="21" t="s">
        <v>10</v>
      </c>
      <c r="L11" s="23">
        <v>10</v>
      </c>
      <c r="M11" s="26" t="s">
        <v>9</v>
      </c>
      <c r="N11" s="2" t="s">
        <v>24</v>
      </c>
      <c r="O11" s="21" t="s">
        <v>10</v>
      </c>
      <c r="P11" s="23">
        <v>10</v>
      </c>
      <c r="Q11" s="25" t="s">
        <v>9</v>
      </c>
      <c r="R11" s="4" t="s">
        <v>80</v>
      </c>
      <c r="S11" s="21" t="s">
        <v>1</v>
      </c>
      <c r="T11" s="23">
        <v>44</v>
      </c>
    </row>
    <row r="12" spans="1:20" ht="17.25" customHeight="1" x14ac:dyDescent="0.25">
      <c r="A12" s="24" t="s">
        <v>9</v>
      </c>
      <c r="B12" s="4"/>
      <c r="C12" s="21"/>
      <c r="D12" s="23"/>
      <c r="E12" s="25" t="s">
        <v>9</v>
      </c>
      <c r="F12" s="4"/>
      <c r="H12" s="23"/>
      <c r="I12" s="25" t="s">
        <v>9</v>
      </c>
      <c r="J12" s="4" t="s">
        <v>87</v>
      </c>
      <c r="K12" s="21" t="s">
        <v>1</v>
      </c>
      <c r="L12" s="23">
        <v>1</v>
      </c>
      <c r="M12" s="26" t="s">
        <v>9</v>
      </c>
      <c r="O12" s="21"/>
      <c r="P12" s="23"/>
      <c r="Q12" s="25" t="s">
        <v>9</v>
      </c>
      <c r="R12" s="32"/>
      <c r="S12" s="21"/>
      <c r="T12" s="23"/>
    </row>
    <row r="13" spans="1:20" ht="17.25" customHeight="1" x14ac:dyDescent="0.25">
      <c r="A13" s="24" t="s">
        <v>9</v>
      </c>
      <c r="C13" s="21"/>
      <c r="D13" s="23"/>
      <c r="E13" s="25" t="s">
        <v>9</v>
      </c>
      <c r="H13" s="23"/>
      <c r="I13" s="25" t="s">
        <v>9</v>
      </c>
      <c r="L13" s="23"/>
      <c r="M13" s="26" t="s">
        <v>9</v>
      </c>
      <c r="P13" s="23"/>
      <c r="Q13" s="25" t="s">
        <v>9</v>
      </c>
      <c r="R13" s="4"/>
      <c r="S13" s="21"/>
      <c r="T13" s="23"/>
    </row>
    <row r="14" spans="1:20" ht="17.25" customHeight="1" thickBot="1" x14ac:dyDescent="0.3">
      <c r="A14" s="17" t="s">
        <v>9</v>
      </c>
      <c r="B14" s="3"/>
      <c r="C14" s="18"/>
      <c r="D14" s="19"/>
      <c r="E14" s="27" t="s">
        <v>9</v>
      </c>
      <c r="F14" s="3"/>
      <c r="G14" s="18"/>
      <c r="H14" s="19"/>
      <c r="I14" s="27" t="s">
        <v>9</v>
      </c>
      <c r="J14" s="3"/>
      <c r="K14" s="18"/>
      <c r="L14" s="19"/>
      <c r="M14" s="20" t="s">
        <v>9</v>
      </c>
      <c r="N14" s="4"/>
      <c r="O14" s="21"/>
      <c r="P14" s="19"/>
      <c r="Q14" s="27" t="s">
        <v>9</v>
      </c>
      <c r="R14" s="3"/>
      <c r="S14" s="18"/>
      <c r="T14" s="19"/>
    </row>
    <row r="15" spans="1:20" ht="17.25" customHeight="1" thickBot="1" x14ac:dyDescent="0.3">
      <c r="A15" s="28" t="s">
        <v>11</v>
      </c>
      <c r="B15" s="3"/>
      <c r="C15" s="18"/>
      <c r="D15" s="19"/>
      <c r="E15" s="29" t="s">
        <v>11</v>
      </c>
      <c r="F15" s="3" t="s">
        <v>271</v>
      </c>
      <c r="G15" s="18"/>
      <c r="H15" s="19"/>
      <c r="I15" s="29" t="s">
        <v>11</v>
      </c>
      <c r="J15" s="3"/>
      <c r="K15" s="18"/>
      <c r="L15" s="19"/>
      <c r="M15" s="30" t="s">
        <v>11</v>
      </c>
      <c r="N15" s="6"/>
      <c r="O15" s="29"/>
      <c r="P15" s="31"/>
      <c r="Q15" s="30" t="s">
        <v>11</v>
      </c>
      <c r="R15" s="6" t="s">
        <v>81</v>
      </c>
      <c r="S15" s="29" t="s">
        <v>1</v>
      </c>
      <c r="T15" s="31">
        <v>23</v>
      </c>
    </row>
    <row r="16" spans="1:20" ht="17.25" customHeight="1" x14ac:dyDescent="0.25">
      <c r="A16" s="24" t="s">
        <v>14</v>
      </c>
      <c r="B16" s="4" t="s">
        <v>43</v>
      </c>
      <c r="C16" s="21" t="s">
        <v>10</v>
      </c>
      <c r="D16" s="23">
        <v>10</v>
      </c>
      <c r="E16" s="25" t="s">
        <v>14</v>
      </c>
      <c r="F16" s="4" t="s">
        <v>37</v>
      </c>
      <c r="G16" s="21" t="s">
        <v>12</v>
      </c>
      <c r="H16" s="23">
        <v>1</v>
      </c>
      <c r="I16" s="25" t="s">
        <v>14</v>
      </c>
      <c r="J16" s="4" t="s">
        <v>88</v>
      </c>
      <c r="K16" s="21" t="s">
        <v>1</v>
      </c>
      <c r="L16" s="23">
        <v>1</v>
      </c>
      <c r="M16" s="26" t="s">
        <v>14</v>
      </c>
      <c r="N16" s="4" t="s">
        <v>51</v>
      </c>
      <c r="O16" s="14" t="s">
        <v>1</v>
      </c>
      <c r="P16" s="23">
        <v>7</v>
      </c>
      <c r="Q16" s="26" t="s">
        <v>14</v>
      </c>
      <c r="R16" s="4" t="s">
        <v>36</v>
      </c>
      <c r="S16" s="14" t="s">
        <v>12</v>
      </c>
      <c r="T16" s="23">
        <v>4</v>
      </c>
    </row>
    <row r="17" spans="1:23" ht="17.25" customHeight="1" x14ac:dyDescent="0.25">
      <c r="A17" s="24" t="s">
        <v>14</v>
      </c>
      <c r="B17" s="4" t="s">
        <v>61</v>
      </c>
      <c r="C17" s="21" t="s">
        <v>3</v>
      </c>
      <c r="D17" s="23">
        <v>5</v>
      </c>
      <c r="E17" s="25" t="s">
        <v>14</v>
      </c>
      <c r="F17" s="4" t="s">
        <v>46</v>
      </c>
      <c r="G17" s="21" t="s">
        <v>12</v>
      </c>
      <c r="H17" s="23">
        <v>16</v>
      </c>
      <c r="I17" s="25" t="s">
        <v>14</v>
      </c>
      <c r="J17" s="4" t="s">
        <v>89</v>
      </c>
      <c r="K17" s="21" t="s">
        <v>1</v>
      </c>
      <c r="L17" s="23">
        <v>4</v>
      </c>
      <c r="M17" s="26" t="s">
        <v>14</v>
      </c>
      <c r="N17" s="4"/>
      <c r="O17" s="21"/>
      <c r="P17" s="23"/>
      <c r="Q17" s="26" t="s">
        <v>14</v>
      </c>
      <c r="R17" s="4" t="s">
        <v>82</v>
      </c>
      <c r="S17" s="21" t="s">
        <v>1</v>
      </c>
      <c r="T17" s="23">
        <v>25</v>
      </c>
    </row>
    <row r="18" spans="1:23" ht="17.25" customHeight="1" x14ac:dyDescent="0.25">
      <c r="A18" s="24" t="s">
        <v>14</v>
      </c>
      <c r="B18" s="4" t="s">
        <v>21</v>
      </c>
      <c r="C18" s="21" t="s">
        <v>20</v>
      </c>
      <c r="D18" s="23">
        <v>15</v>
      </c>
      <c r="E18" s="25" t="s">
        <v>14</v>
      </c>
      <c r="F18" s="4" t="s">
        <v>77</v>
      </c>
      <c r="G18" s="21" t="s">
        <v>1</v>
      </c>
      <c r="H18" s="23">
        <v>16</v>
      </c>
      <c r="I18" s="25" t="s">
        <v>14</v>
      </c>
      <c r="J18" s="32"/>
      <c r="L18" s="23"/>
      <c r="M18" s="26" t="s">
        <v>14</v>
      </c>
      <c r="N18" s="4"/>
      <c r="O18" s="21"/>
      <c r="P18" s="23"/>
      <c r="Q18" s="26" t="s">
        <v>14</v>
      </c>
      <c r="R18" s="4" t="s">
        <v>32</v>
      </c>
      <c r="S18" s="21" t="s">
        <v>10</v>
      </c>
      <c r="T18" s="23">
        <v>10</v>
      </c>
    </row>
    <row r="19" spans="1:23" ht="17.25" customHeight="1" x14ac:dyDescent="0.25">
      <c r="A19" s="24" t="s">
        <v>14</v>
      </c>
      <c r="B19" s="4" t="s">
        <v>62</v>
      </c>
      <c r="C19" s="21" t="s">
        <v>3</v>
      </c>
      <c r="D19" s="23">
        <v>5</v>
      </c>
      <c r="E19" s="25" t="s">
        <v>14</v>
      </c>
      <c r="F19" s="4" t="s">
        <v>38</v>
      </c>
      <c r="G19" s="21" t="s">
        <v>10</v>
      </c>
      <c r="H19" s="23">
        <v>10</v>
      </c>
      <c r="I19" s="25" t="s">
        <v>14</v>
      </c>
      <c r="J19" s="4"/>
      <c r="L19" s="23"/>
      <c r="M19" s="26" t="s">
        <v>14</v>
      </c>
      <c r="O19" s="21"/>
      <c r="P19" s="23"/>
      <c r="Q19" s="26" t="s">
        <v>14</v>
      </c>
      <c r="R19" s="4" t="s">
        <v>31</v>
      </c>
      <c r="S19" s="21" t="s">
        <v>15</v>
      </c>
      <c r="T19" s="23">
        <v>14</v>
      </c>
    </row>
    <row r="20" spans="1:23" ht="17.25" customHeight="1" x14ac:dyDescent="0.25">
      <c r="A20" s="24" t="s">
        <v>14</v>
      </c>
      <c r="B20" s="4"/>
      <c r="C20" s="21"/>
      <c r="D20" s="23"/>
      <c r="E20" s="26" t="s">
        <v>14</v>
      </c>
      <c r="F20" s="32"/>
      <c r="H20" s="23"/>
      <c r="I20" s="26" t="s">
        <v>14</v>
      </c>
      <c r="J20" s="4"/>
      <c r="L20" s="23"/>
      <c r="M20" s="26" t="s">
        <v>14</v>
      </c>
      <c r="N20" s="4"/>
      <c r="O20" s="21"/>
      <c r="P20" s="23"/>
      <c r="Q20" s="26" t="s">
        <v>14</v>
      </c>
      <c r="R20" s="4"/>
      <c r="S20" s="21"/>
      <c r="T20" s="23"/>
    </row>
    <row r="21" spans="1:23" ht="17.25" customHeight="1" x14ac:dyDescent="0.25">
      <c r="A21" s="24" t="s">
        <v>14</v>
      </c>
      <c r="B21" s="4"/>
      <c r="C21" s="21"/>
      <c r="D21" s="23"/>
      <c r="E21" s="26" t="s">
        <v>14</v>
      </c>
      <c r="H21" s="23"/>
      <c r="I21" s="26" t="s">
        <v>14</v>
      </c>
      <c r="J21" s="4"/>
      <c r="L21" s="23"/>
      <c r="M21" s="26" t="s">
        <v>14</v>
      </c>
      <c r="P21" s="23"/>
      <c r="Q21" s="26" t="s">
        <v>14</v>
      </c>
      <c r="T21" s="23"/>
    </row>
    <row r="22" spans="1:23" ht="17.25" customHeight="1" x14ac:dyDescent="0.25">
      <c r="A22" s="24" t="s">
        <v>14</v>
      </c>
      <c r="B22" s="4"/>
      <c r="C22" s="21"/>
      <c r="D22" s="23"/>
      <c r="E22" s="26" t="s">
        <v>14</v>
      </c>
      <c r="F22" s="4"/>
      <c r="H22" s="23"/>
      <c r="I22" s="26" t="s">
        <v>14</v>
      </c>
      <c r="J22" s="4"/>
      <c r="L22" s="23"/>
      <c r="M22" s="26" t="s">
        <v>14</v>
      </c>
      <c r="N22" s="4"/>
      <c r="O22" s="21"/>
      <c r="P22" s="23"/>
      <c r="Q22" s="26" t="s">
        <v>14</v>
      </c>
      <c r="R22" s="4"/>
      <c r="S22" s="21"/>
      <c r="T22" s="23"/>
    </row>
    <row r="23" spans="1:23" ht="17.25" customHeight="1" x14ac:dyDescent="0.25">
      <c r="A23" s="24" t="s">
        <v>14</v>
      </c>
      <c r="B23" s="4"/>
      <c r="C23" s="21"/>
      <c r="D23" s="23"/>
      <c r="E23" s="26" t="s">
        <v>14</v>
      </c>
      <c r="F23" s="4"/>
      <c r="H23" s="23"/>
      <c r="I23" s="26" t="s">
        <v>14</v>
      </c>
      <c r="J23" s="4"/>
      <c r="L23" s="23"/>
      <c r="M23" s="26" t="s">
        <v>14</v>
      </c>
      <c r="N23" s="4"/>
      <c r="O23" s="21"/>
      <c r="P23" s="23"/>
      <c r="Q23" s="26" t="s">
        <v>14</v>
      </c>
      <c r="R23" s="4"/>
      <c r="S23" s="21"/>
      <c r="T23" s="23"/>
    </row>
    <row r="24" spans="1:23" ht="17.25" customHeight="1" thickBot="1" x14ac:dyDescent="0.3">
      <c r="A24" s="17" t="s">
        <v>14</v>
      </c>
      <c r="B24" s="3"/>
      <c r="C24" s="18"/>
      <c r="D24" s="19"/>
      <c r="E24" s="20" t="s">
        <v>14</v>
      </c>
      <c r="F24" s="9"/>
      <c r="G24" s="18"/>
      <c r="H24" s="19"/>
      <c r="I24" s="20" t="s">
        <v>14</v>
      </c>
      <c r="J24" s="3"/>
      <c r="K24" s="18"/>
      <c r="L24" s="19"/>
      <c r="M24" s="20" t="s">
        <v>14</v>
      </c>
      <c r="N24" s="3" t="s">
        <v>26</v>
      </c>
      <c r="O24" s="18" t="s">
        <v>12</v>
      </c>
      <c r="P24" s="19">
        <v>18</v>
      </c>
      <c r="Q24" s="20" t="s">
        <v>14</v>
      </c>
      <c r="R24" s="3"/>
      <c r="S24" s="18"/>
      <c r="T24" s="19"/>
    </row>
    <row r="25" spans="1:23" ht="21" customHeight="1" thickBot="1" x14ac:dyDescent="0.35">
      <c r="A25" s="42" t="str">
        <f>"Team F $"&amp;260-SUM(D26:D48)</f>
        <v>Team F $194</v>
      </c>
      <c r="B25" s="43"/>
      <c r="C25" s="43"/>
      <c r="D25" s="44"/>
      <c r="E25" s="45" t="str">
        <f>"Team G $"&amp;260-SUM(H26:H48)</f>
        <v>Team G $198</v>
      </c>
      <c r="F25" s="46"/>
      <c r="G25" s="46"/>
      <c r="H25" s="47"/>
      <c r="I25" s="45" t="str">
        <f>"Team H $"&amp;260-SUM(L26:L48)</f>
        <v>Team H $166</v>
      </c>
      <c r="J25" s="46"/>
      <c r="K25" s="46"/>
      <c r="L25" s="47"/>
      <c r="M25" s="45" t="str">
        <f>"Team I $"&amp;260-SUM(P26:P48)</f>
        <v>Team I $104</v>
      </c>
      <c r="N25" s="46"/>
      <c r="O25" s="46"/>
      <c r="P25" s="47"/>
      <c r="Q25" s="42"/>
      <c r="R25" s="43"/>
      <c r="S25" s="43"/>
      <c r="T25" s="44"/>
    </row>
    <row r="26" spans="1:23" ht="17.25" customHeight="1" x14ac:dyDescent="0.25">
      <c r="A26" s="13" t="s">
        <v>0</v>
      </c>
      <c r="B26" s="5"/>
      <c r="C26" s="14"/>
      <c r="D26" s="15"/>
      <c r="E26" s="16" t="s">
        <v>0</v>
      </c>
      <c r="F26" s="32"/>
      <c r="G26" s="14"/>
      <c r="H26" s="15"/>
      <c r="I26" s="16" t="s">
        <v>0</v>
      </c>
      <c r="J26" s="5" t="s">
        <v>70</v>
      </c>
      <c r="K26" s="14" t="s">
        <v>1</v>
      </c>
      <c r="L26" s="15">
        <v>2</v>
      </c>
      <c r="M26" s="16" t="s">
        <v>0</v>
      </c>
      <c r="N26" s="5" t="s">
        <v>52</v>
      </c>
      <c r="O26" s="14" t="s">
        <v>1</v>
      </c>
      <c r="P26" s="15">
        <v>1</v>
      </c>
      <c r="Q26" s="16"/>
      <c r="R26" s="5"/>
      <c r="S26" s="14"/>
      <c r="T26" s="15"/>
    </row>
    <row r="27" spans="1:23" ht="17.25" customHeight="1" thickBot="1" x14ac:dyDescent="0.3">
      <c r="A27" s="17" t="s">
        <v>0</v>
      </c>
      <c r="B27" s="3"/>
      <c r="C27" s="18"/>
      <c r="D27" s="19"/>
      <c r="E27" s="20" t="s">
        <v>0</v>
      </c>
      <c r="F27" s="3"/>
      <c r="G27" s="18"/>
      <c r="H27" s="19"/>
      <c r="I27" s="20" t="s">
        <v>0</v>
      </c>
      <c r="J27" s="32"/>
      <c r="K27" s="18"/>
      <c r="L27" s="19"/>
      <c r="M27" s="20" t="s">
        <v>0</v>
      </c>
      <c r="N27" s="3"/>
      <c r="O27" s="18"/>
      <c r="P27" s="19"/>
      <c r="Q27" s="20"/>
      <c r="R27" s="3"/>
      <c r="S27" s="18"/>
      <c r="T27" s="19"/>
    </row>
    <row r="28" spans="1:23" ht="17.25" customHeight="1" x14ac:dyDescent="0.25">
      <c r="A28" s="13" t="s">
        <v>2</v>
      </c>
      <c r="C28" s="21"/>
      <c r="D28" s="15"/>
      <c r="E28" s="22" t="s">
        <v>2</v>
      </c>
      <c r="F28" s="2" t="s">
        <v>27</v>
      </c>
      <c r="G28" s="21" t="s">
        <v>10</v>
      </c>
      <c r="H28" s="15">
        <v>10</v>
      </c>
      <c r="I28" s="22" t="s">
        <v>2</v>
      </c>
      <c r="J28" s="2" t="s">
        <v>71</v>
      </c>
      <c r="K28" s="21" t="s">
        <v>1</v>
      </c>
      <c r="L28" s="15">
        <v>31</v>
      </c>
      <c r="M28" s="22" t="s">
        <v>2</v>
      </c>
      <c r="O28" s="21"/>
      <c r="P28" s="15"/>
      <c r="Q28" s="22"/>
      <c r="S28" s="21"/>
      <c r="T28" s="15"/>
    </row>
    <row r="29" spans="1:23" ht="17.25" customHeight="1" x14ac:dyDescent="0.25">
      <c r="A29" s="24" t="s">
        <v>4</v>
      </c>
      <c r="B29" s="4" t="s">
        <v>66</v>
      </c>
      <c r="C29" s="21" t="s">
        <v>1</v>
      </c>
      <c r="D29" s="23">
        <v>11</v>
      </c>
      <c r="E29" s="25" t="s">
        <v>4</v>
      </c>
      <c r="F29" s="32" t="s">
        <v>153</v>
      </c>
      <c r="H29" s="23"/>
      <c r="I29" s="25" t="s">
        <v>4</v>
      </c>
      <c r="J29" s="32"/>
      <c r="L29" s="23"/>
      <c r="M29" s="25" t="s">
        <v>4</v>
      </c>
      <c r="N29" s="4" t="s">
        <v>39</v>
      </c>
      <c r="O29" s="21" t="s">
        <v>12</v>
      </c>
      <c r="P29" s="23">
        <v>33</v>
      </c>
      <c r="Q29" s="25"/>
      <c r="R29" s="4"/>
      <c r="S29" s="21"/>
      <c r="T29" s="23"/>
    </row>
    <row r="30" spans="1:23" ht="17.25" customHeight="1" thickBot="1" x14ac:dyDescent="0.3">
      <c r="A30" s="17" t="s">
        <v>6</v>
      </c>
      <c r="B30" s="32"/>
      <c r="C30" s="18"/>
      <c r="D30" s="19"/>
      <c r="E30" s="27" t="s">
        <v>6</v>
      </c>
      <c r="F30" s="3" t="s">
        <v>63</v>
      </c>
      <c r="G30" s="18" t="s">
        <v>1</v>
      </c>
      <c r="H30" s="19">
        <v>1</v>
      </c>
      <c r="I30" s="27" t="s">
        <v>6</v>
      </c>
      <c r="L30" s="23"/>
      <c r="M30" s="27" t="s">
        <v>6</v>
      </c>
      <c r="N30" s="3"/>
      <c r="O30" s="18"/>
      <c r="P30" s="19"/>
      <c r="Q30" s="27"/>
      <c r="R30" s="3"/>
      <c r="S30" s="18"/>
      <c r="T30" s="19"/>
      <c r="U30" s="4"/>
      <c r="V30" s="21"/>
      <c r="W30" s="25"/>
    </row>
    <row r="31" spans="1:23" ht="17.25" customHeight="1" x14ac:dyDescent="0.25">
      <c r="A31" s="24" t="s">
        <v>5</v>
      </c>
      <c r="B31" s="32"/>
      <c r="C31" s="21"/>
      <c r="D31" s="23"/>
      <c r="E31" s="25" t="s">
        <v>5</v>
      </c>
      <c r="F31" s="32"/>
      <c r="H31" s="23"/>
      <c r="I31" s="25" t="s">
        <v>5</v>
      </c>
      <c r="L31" s="15"/>
      <c r="M31" s="25" t="s">
        <v>5</v>
      </c>
      <c r="O31" s="21"/>
      <c r="P31" s="23"/>
      <c r="Q31" s="25"/>
      <c r="S31" s="21"/>
      <c r="T31" s="23"/>
    </row>
    <row r="32" spans="1:23" ht="17.25" customHeight="1" x14ac:dyDescent="0.25">
      <c r="A32" s="24" t="s">
        <v>7</v>
      </c>
      <c r="B32" s="32"/>
      <c r="C32" s="21"/>
      <c r="D32" s="23"/>
      <c r="E32" s="25" t="s">
        <v>7</v>
      </c>
      <c r="F32" s="4" t="s">
        <v>28</v>
      </c>
      <c r="G32" s="21" t="s">
        <v>10</v>
      </c>
      <c r="H32" s="23">
        <v>10</v>
      </c>
      <c r="I32" s="25" t="s">
        <v>7</v>
      </c>
      <c r="J32" s="4" t="s">
        <v>47</v>
      </c>
      <c r="K32" s="21" t="s">
        <v>20</v>
      </c>
      <c r="L32" s="23">
        <v>15</v>
      </c>
      <c r="M32" s="25" t="s">
        <v>7</v>
      </c>
      <c r="N32" s="4" t="s">
        <v>53</v>
      </c>
      <c r="O32" s="21" t="s">
        <v>12</v>
      </c>
      <c r="P32" s="23">
        <v>11</v>
      </c>
      <c r="Q32" s="25"/>
      <c r="R32" s="4"/>
      <c r="S32" s="21"/>
      <c r="T32" s="23"/>
    </row>
    <row r="33" spans="1:20" ht="17.25" customHeight="1" thickBot="1" x14ac:dyDescent="0.3">
      <c r="A33" s="17" t="s">
        <v>8</v>
      </c>
      <c r="B33" s="32"/>
      <c r="C33" s="18"/>
      <c r="D33" s="19"/>
      <c r="E33" s="27" t="s">
        <v>8</v>
      </c>
      <c r="F33" s="3"/>
      <c r="G33" s="18"/>
      <c r="H33" s="19"/>
      <c r="I33" s="27" t="s">
        <v>8</v>
      </c>
      <c r="J33" s="3" t="s">
        <v>72</v>
      </c>
      <c r="K33" s="18" t="s">
        <v>1</v>
      </c>
      <c r="L33" s="19">
        <v>8</v>
      </c>
      <c r="M33" s="27" t="s">
        <v>8</v>
      </c>
      <c r="N33" s="3"/>
      <c r="O33" s="18"/>
      <c r="P33" s="19"/>
      <c r="Q33" s="27"/>
      <c r="R33" s="3"/>
      <c r="S33" s="18"/>
      <c r="T33" s="19"/>
    </row>
    <row r="34" spans="1:20" ht="17.25" customHeight="1" x14ac:dyDescent="0.25">
      <c r="A34" s="24" t="s">
        <v>9</v>
      </c>
      <c r="B34" s="4" t="s">
        <v>22</v>
      </c>
      <c r="C34" s="21" t="s">
        <v>20</v>
      </c>
      <c r="D34" s="23">
        <v>15</v>
      </c>
      <c r="E34" s="25" t="s">
        <v>9</v>
      </c>
      <c r="F34" s="4" t="s">
        <v>64</v>
      </c>
      <c r="G34" s="21" t="s">
        <v>1</v>
      </c>
      <c r="H34" s="23">
        <v>31</v>
      </c>
      <c r="I34" s="25" t="s">
        <v>9</v>
      </c>
      <c r="J34" s="4" t="s">
        <v>73</v>
      </c>
      <c r="K34" s="21" t="s">
        <v>3</v>
      </c>
      <c r="L34" s="23">
        <v>5</v>
      </c>
      <c r="M34" s="25" t="s">
        <v>9</v>
      </c>
      <c r="N34" s="4" t="s">
        <v>54</v>
      </c>
      <c r="O34" s="21" t="s">
        <v>3</v>
      </c>
      <c r="P34" s="23">
        <v>5</v>
      </c>
      <c r="Q34" s="25"/>
      <c r="R34" s="4"/>
      <c r="S34" s="21"/>
      <c r="T34" s="23"/>
    </row>
    <row r="35" spans="1:20" ht="17.25" customHeight="1" x14ac:dyDescent="0.25">
      <c r="A35" s="24" t="s">
        <v>9</v>
      </c>
      <c r="B35" s="4" t="s">
        <v>33</v>
      </c>
      <c r="C35" s="21" t="s">
        <v>10</v>
      </c>
      <c r="D35" s="23">
        <v>10</v>
      </c>
      <c r="E35" s="25" t="s">
        <v>9</v>
      </c>
      <c r="F35" s="4" t="s">
        <v>29</v>
      </c>
      <c r="G35" s="21" t="s">
        <v>12</v>
      </c>
      <c r="H35" s="23">
        <v>2</v>
      </c>
      <c r="I35" s="25" t="s">
        <v>9</v>
      </c>
      <c r="J35" s="32"/>
      <c r="L35" s="23"/>
      <c r="M35" s="25" t="s">
        <v>9</v>
      </c>
      <c r="N35" s="4" t="s">
        <v>40</v>
      </c>
      <c r="O35" s="21" t="s">
        <v>12</v>
      </c>
      <c r="P35" s="23">
        <v>18</v>
      </c>
      <c r="Q35" s="25"/>
      <c r="R35" s="4"/>
      <c r="S35" s="21"/>
      <c r="T35" s="23"/>
    </row>
    <row r="36" spans="1:20" ht="17.25" customHeight="1" x14ac:dyDescent="0.25">
      <c r="A36" s="24" t="s">
        <v>9</v>
      </c>
      <c r="B36" s="4" t="s">
        <v>67</v>
      </c>
      <c r="C36" s="21" t="s">
        <v>3</v>
      </c>
      <c r="D36" s="23">
        <v>5</v>
      </c>
      <c r="E36" s="25" t="s">
        <v>9</v>
      </c>
      <c r="F36" s="4"/>
      <c r="H36" s="23"/>
      <c r="I36" s="25" t="s">
        <v>9</v>
      </c>
      <c r="J36" s="4"/>
      <c r="L36" s="23"/>
      <c r="M36" s="25" t="s">
        <v>9</v>
      </c>
      <c r="N36" s="4"/>
      <c r="O36" s="21"/>
      <c r="P36" s="23"/>
      <c r="Q36" s="25"/>
      <c r="R36" s="4"/>
      <c r="S36" s="21"/>
      <c r="T36" s="23"/>
    </row>
    <row r="37" spans="1:20" ht="17.25" customHeight="1" x14ac:dyDescent="0.25">
      <c r="A37" s="24" t="s">
        <v>9</v>
      </c>
      <c r="C37" s="21"/>
      <c r="D37" s="23"/>
      <c r="E37" s="25" t="s">
        <v>9</v>
      </c>
      <c r="H37" s="23"/>
      <c r="I37" s="25" t="s">
        <v>9</v>
      </c>
      <c r="L37" s="23"/>
      <c r="M37" s="25" t="s">
        <v>9</v>
      </c>
      <c r="O37" s="21"/>
      <c r="P37" s="23"/>
      <c r="Q37" s="25"/>
      <c r="S37" s="21"/>
      <c r="T37" s="23"/>
    </row>
    <row r="38" spans="1:20" ht="17.25" customHeight="1" thickBot="1" x14ac:dyDescent="0.3">
      <c r="A38" s="17" t="s">
        <v>9</v>
      </c>
      <c r="B38" s="3"/>
      <c r="C38" s="18"/>
      <c r="D38" s="19"/>
      <c r="E38" s="27" t="s">
        <v>9</v>
      </c>
      <c r="F38" s="3"/>
      <c r="G38" s="18"/>
      <c r="H38" s="19"/>
      <c r="I38" s="27" t="s">
        <v>9</v>
      </c>
      <c r="J38" s="3"/>
      <c r="K38" s="18"/>
      <c r="L38" s="19"/>
      <c r="M38" s="27" t="s">
        <v>9</v>
      </c>
      <c r="N38" s="3"/>
      <c r="O38" s="18"/>
      <c r="P38" s="19"/>
      <c r="Q38" s="27"/>
      <c r="R38" s="3"/>
      <c r="S38" s="18"/>
      <c r="T38" s="19"/>
    </row>
    <row r="39" spans="1:20" ht="17.25" customHeight="1" thickBot="1" x14ac:dyDescent="0.3">
      <c r="A39" s="28" t="s">
        <v>11</v>
      </c>
      <c r="B39" s="3"/>
      <c r="C39" s="18"/>
      <c r="D39" s="19"/>
      <c r="E39" s="29" t="s">
        <v>11</v>
      </c>
      <c r="F39" s="3"/>
      <c r="G39" s="18"/>
      <c r="H39" s="19"/>
      <c r="I39" s="29" t="s">
        <v>11</v>
      </c>
      <c r="J39" s="3"/>
      <c r="K39" s="18"/>
      <c r="L39" s="19"/>
      <c r="M39" s="29" t="s">
        <v>11</v>
      </c>
      <c r="Q39" s="29"/>
      <c r="R39" s="3"/>
      <c r="S39" s="18"/>
      <c r="T39" s="19"/>
    </row>
    <row r="40" spans="1:20" ht="17.25" customHeight="1" x14ac:dyDescent="0.25">
      <c r="A40" s="24" t="s">
        <v>14</v>
      </c>
      <c r="B40" s="4" t="s">
        <v>34</v>
      </c>
      <c r="C40" s="21" t="s">
        <v>12</v>
      </c>
      <c r="D40" s="23">
        <v>4</v>
      </c>
      <c r="E40" s="25" t="s">
        <v>14</v>
      </c>
      <c r="F40" s="32"/>
      <c r="H40" s="23"/>
      <c r="I40" s="25" t="s">
        <v>14</v>
      </c>
      <c r="J40" s="4" t="s">
        <v>74</v>
      </c>
      <c r="K40" s="21" t="s">
        <v>3</v>
      </c>
      <c r="L40" s="23">
        <v>5</v>
      </c>
      <c r="M40" s="25" t="s">
        <v>14</v>
      </c>
      <c r="N40" s="4"/>
      <c r="O40" s="21"/>
      <c r="P40" s="23"/>
      <c r="Q40" s="25"/>
      <c r="R40" s="4"/>
      <c r="S40" s="21"/>
      <c r="T40" s="23"/>
    </row>
    <row r="41" spans="1:20" ht="17.25" customHeight="1" x14ac:dyDescent="0.25">
      <c r="A41" s="24" t="s">
        <v>14</v>
      </c>
      <c r="B41" s="4" t="s">
        <v>68</v>
      </c>
      <c r="C41" s="21" t="s">
        <v>1</v>
      </c>
      <c r="D41" s="23">
        <v>1</v>
      </c>
      <c r="E41" s="25" t="s">
        <v>14</v>
      </c>
      <c r="F41" s="4" t="s">
        <v>19</v>
      </c>
      <c r="G41" s="21" t="s">
        <v>1</v>
      </c>
      <c r="H41" s="23">
        <v>7</v>
      </c>
      <c r="I41" s="25" t="s">
        <v>14</v>
      </c>
      <c r="J41" s="4" t="s">
        <v>75</v>
      </c>
      <c r="K41" s="21" t="s">
        <v>1</v>
      </c>
      <c r="L41" s="23">
        <v>28</v>
      </c>
      <c r="M41" s="25" t="s">
        <v>14</v>
      </c>
      <c r="N41" s="4" t="s">
        <v>55</v>
      </c>
      <c r="O41" s="21" t="s">
        <v>1</v>
      </c>
      <c r="P41" s="23">
        <v>5</v>
      </c>
      <c r="Q41" s="25"/>
      <c r="R41" s="4"/>
      <c r="S41" s="21"/>
      <c r="T41" s="23"/>
    </row>
    <row r="42" spans="1:20" ht="17.25" customHeight="1" x14ac:dyDescent="0.25">
      <c r="A42" s="24" t="s">
        <v>14</v>
      </c>
      <c r="B42" s="4" t="s">
        <v>16</v>
      </c>
      <c r="C42" s="21" t="s">
        <v>20</v>
      </c>
      <c r="D42" s="23">
        <v>15</v>
      </c>
      <c r="E42" s="25" t="s">
        <v>14</v>
      </c>
      <c r="F42" s="4" t="s">
        <v>65</v>
      </c>
      <c r="G42" s="21" t="s">
        <v>1</v>
      </c>
      <c r="H42" s="23">
        <v>1</v>
      </c>
      <c r="I42" s="25" t="s">
        <v>14</v>
      </c>
      <c r="J42" s="4"/>
      <c r="L42" s="23"/>
      <c r="M42" s="25" t="s">
        <v>14</v>
      </c>
      <c r="N42" s="4" t="s">
        <v>42</v>
      </c>
      <c r="O42" s="21" t="s">
        <v>13</v>
      </c>
      <c r="P42" s="23">
        <v>9</v>
      </c>
      <c r="Q42" s="25"/>
      <c r="R42" s="4"/>
      <c r="S42" s="21"/>
      <c r="T42" s="23"/>
    </row>
    <row r="43" spans="1:20" ht="17.25" customHeight="1" x14ac:dyDescent="0.25">
      <c r="A43" s="24" t="s">
        <v>14</v>
      </c>
      <c r="B43" s="4" t="s">
        <v>140</v>
      </c>
      <c r="C43" s="21" t="s">
        <v>12</v>
      </c>
      <c r="D43" s="23">
        <v>1</v>
      </c>
      <c r="E43" s="25" t="s">
        <v>14</v>
      </c>
      <c r="F43" s="4"/>
      <c r="H43" s="23"/>
      <c r="I43" s="25" t="s">
        <v>14</v>
      </c>
      <c r="J43" s="4"/>
      <c r="L43" s="23"/>
      <c r="M43" s="25" t="s">
        <v>14</v>
      </c>
      <c r="N43" s="4" t="s">
        <v>56</v>
      </c>
      <c r="O43" s="21" t="s">
        <v>1</v>
      </c>
      <c r="P43" s="23">
        <v>13</v>
      </c>
      <c r="Q43" s="25"/>
      <c r="R43" s="4"/>
      <c r="S43" s="21"/>
      <c r="T43" s="23"/>
    </row>
    <row r="44" spans="1:20" ht="17.25" customHeight="1" x14ac:dyDescent="0.25">
      <c r="A44" s="24" t="s">
        <v>14</v>
      </c>
      <c r="B44" s="4" t="s">
        <v>69</v>
      </c>
      <c r="C44" s="21" t="s">
        <v>1</v>
      </c>
      <c r="D44" s="23">
        <v>4</v>
      </c>
      <c r="E44" s="26" t="s">
        <v>14</v>
      </c>
      <c r="F44" s="4"/>
      <c r="H44" s="23"/>
      <c r="I44" s="26" t="s">
        <v>14</v>
      </c>
      <c r="J44" s="4"/>
      <c r="L44" s="23"/>
      <c r="M44" s="26" t="s">
        <v>14</v>
      </c>
      <c r="N44" s="4" t="s">
        <v>57</v>
      </c>
      <c r="O44" s="21" t="s">
        <v>1</v>
      </c>
      <c r="P44" s="23">
        <v>15</v>
      </c>
      <c r="Q44" s="26"/>
      <c r="R44" s="4"/>
      <c r="S44" s="21"/>
      <c r="T44" s="23"/>
    </row>
    <row r="45" spans="1:20" ht="17.25" customHeight="1" x14ac:dyDescent="0.25">
      <c r="A45" s="24" t="s">
        <v>14</v>
      </c>
      <c r="B45" s="4"/>
      <c r="C45" s="21"/>
      <c r="D45" s="23"/>
      <c r="E45" s="26" t="s">
        <v>14</v>
      </c>
      <c r="F45" s="4"/>
      <c r="H45" s="23"/>
      <c r="I45" s="26" t="s">
        <v>14</v>
      </c>
      <c r="J45" s="4"/>
      <c r="L45" s="23"/>
      <c r="M45" s="26" t="s">
        <v>14</v>
      </c>
      <c r="N45" s="32"/>
      <c r="O45" s="21"/>
      <c r="P45" s="23"/>
      <c r="Q45" s="26"/>
      <c r="R45" s="4"/>
      <c r="S45" s="21"/>
      <c r="T45" s="23"/>
    </row>
    <row r="46" spans="1:20" ht="17.25" customHeight="1" x14ac:dyDescent="0.25">
      <c r="A46" s="24" t="s">
        <v>14</v>
      </c>
      <c r="B46" s="4"/>
      <c r="C46" s="21"/>
      <c r="D46" s="23"/>
      <c r="E46" s="26" t="s">
        <v>14</v>
      </c>
      <c r="F46" s="4"/>
      <c r="H46" s="23"/>
      <c r="I46" s="26" t="s">
        <v>14</v>
      </c>
      <c r="J46" s="4"/>
      <c r="L46" s="23"/>
      <c r="M46" s="26" t="s">
        <v>14</v>
      </c>
      <c r="N46" s="4"/>
      <c r="O46" s="21"/>
      <c r="P46" s="23"/>
      <c r="Q46" s="26"/>
      <c r="R46" s="4"/>
      <c r="S46" s="21"/>
      <c r="T46" s="23"/>
    </row>
    <row r="47" spans="1:20" ht="17.25" customHeight="1" thickBot="1" x14ac:dyDescent="0.3">
      <c r="A47" s="24" t="s">
        <v>14</v>
      </c>
      <c r="B47" s="4"/>
      <c r="C47" s="21"/>
      <c r="D47" s="23"/>
      <c r="E47" s="26" t="s">
        <v>14</v>
      </c>
      <c r="F47" s="4"/>
      <c r="H47" s="23"/>
      <c r="I47" s="26" t="s">
        <v>14</v>
      </c>
      <c r="J47" s="4"/>
      <c r="L47" s="23"/>
      <c r="M47" s="26" t="s">
        <v>14</v>
      </c>
      <c r="N47" s="3" t="s">
        <v>41</v>
      </c>
      <c r="O47" s="18" t="s">
        <v>13</v>
      </c>
      <c r="P47" s="19">
        <v>46</v>
      </c>
      <c r="Q47" s="26"/>
      <c r="R47" s="4"/>
      <c r="S47" s="21"/>
      <c r="T47" s="23"/>
    </row>
    <row r="48" spans="1:20" ht="17.25" customHeight="1" thickBot="1" x14ac:dyDescent="0.3">
      <c r="A48" s="17" t="s">
        <v>14</v>
      </c>
      <c r="B48" s="3"/>
      <c r="C48" s="18"/>
      <c r="D48" s="19"/>
      <c r="E48" s="20" t="s">
        <v>14</v>
      </c>
      <c r="F48" s="3"/>
      <c r="G48" s="18"/>
      <c r="H48" s="19"/>
      <c r="I48" s="20" t="s">
        <v>14</v>
      </c>
      <c r="J48" s="3"/>
      <c r="K48" s="18"/>
      <c r="L48" s="19"/>
      <c r="M48" s="20" t="s">
        <v>14</v>
      </c>
      <c r="N48" s="3"/>
      <c r="O48" s="18"/>
      <c r="P48" s="19"/>
      <c r="Q48" s="20"/>
      <c r="R48" s="3"/>
      <c r="S48" s="18"/>
      <c r="T48" s="19"/>
    </row>
    <row r="49" spans="1:20" s="32" customFormat="1" ht="17.25" customHeight="1" x14ac:dyDescent="0.3">
      <c r="A49" s="33"/>
      <c r="B49" s="34"/>
      <c r="C49" s="21"/>
      <c r="D49" s="25"/>
      <c r="E49" s="35"/>
      <c r="F49" s="4"/>
      <c r="G49" s="21"/>
      <c r="H49" s="25"/>
      <c r="I49" s="35"/>
      <c r="K49" s="33"/>
      <c r="L49" s="25"/>
      <c r="M49" s="35"/>
      <c r="N49" s="5"/>
      <c r="O49" s="14"/>
      <c r="P49" s="22"/>
      <c r="Q49" s="33"/>
      <c r="R49" s="4"/>
      <c r="S49" s="21"/>
      <c r="T49" s="22"/>
    </row>
    <row r="50" spans="1:20" ht="17.25" customHeight="1" x14ac:dyDescent="0.25">
      <c r="B50" s="4"/>
      <c r="C50" s="21"/>
      <c r="D50" s="25"/>
      <c r="L50" s="25"/>
      <c r="N50" s="4"/>
      <c r="O50" s="21"/>
      <c r="P50" s="25"/>
      <c r="T50" s="25"/>
    </row>
    <row r="51" spans="1:20" ht="17.25" customHeight="1" x14ac:dyDescent="0.25">
      <c r="D51" s="25"/>
      <c r="P51" s="36"/>
    </row>
    <row r="53" spans="1:20" s="38" customFormat="1" ht="17.25" customHeight="1" x14ac:dyDescent="0.3">
      <c r="A53" s="21"/>
      <c r="B53" s="37"/>
      <c r="E53" s="39"/>
      <c r="F53" s="40"/>
      <c r="G53" s="39"/>
      <c r="I53" s="39"/>
      <c r="J53" s="40"/>
      <c r="K53" s="39"/>
      <c r="M53" s="39"/>
      <c r="N53" s="40"/>
      <c r="Q53" s="39"/>
      <c r="R53" s="40"/>
    </row>
    <row r="54" spans="1:20" ht="17.25" customHeight="1" x14ac:dyDescent="0.25">
      <c r="B54" s="37"/>
      <c r="F54" s="37"/>
      <c r="J54" s="37"/>
      <c r="N54" s="37"/>
      <c r="R54" s="37"/>
    </row>
    <row r="55" spans="1:20" ht="17.25" customHeight="1" x14ac:dyDescent="0.25">
      <c r="B55" s="37"/>
      <c r="F55" s="37"/>
      <c r="J55" s="37"/>
      <c r="N55" s="37"/>
      <c r="R55" s="37"/>
    </row>
    <row r="56" spans="1:20" ht="17.25" customHeight="1" x14ac:dyDescent="0.25">
      <c r="B56" s="37"/>
      <c r="F56" s="37"/>
      <c r="J56" s="37"/>
      <c r="N56" s="37"/>
      <c r="R56" s="37"/>
    </row>
    <row r="57" spans="1:20" ht="17.25" customHeight="1" x14ac:dyDescent="0.25">
      <c r="B57" s="37"/>
      <c r="F57" s="37"/>
      <c r="J57" s="37"/>
      <c r="N57" s="37"/>
      <c r="R57" s="37"/>
    </row>
    <row r="58" spans="1:20" ht="17.25" customHeight="1" x14ac:dyDescent="0.25">
      <c r="B58" s="37"/>
      <c r="F58" s="37"/>
      <c r="J58" s="37"/>
      <c r="N58" s="37"/>
      <c r="R58" s="37"/>
    </row>
    <row r="59" spans="1:20" ht="17.25" customHeight="1" x14ac:dyDescent="0.25">
      <c r="B59" s="37"/>
      <c r="F59" s="37"/>
      <c r="J59" s="37"/>
      <c r="N59" s="37"/>
      <c r="R59" s="37"/>
    </row>
    <row r="60" spans="1:20" ht="17.25" customHeight="1" x14ac:dyDescent="0.25">
      <c r="B60" s="37"/>
      <c r="F60" s="37"/>
      <c r="N60" s="37"/>
      <c r="R60" s="37"/>
    </row>
    <row r="61" spans="1:20" ht="17.25" customHeight="1" x14ac:dyDescent="0.25">
      <c r="F61" s="37"/>
      <c r="N61" s="37"/>
      <c r="R61" s="37"/>
    </row>
    <row r="62" spans="1:20" ht="17.25" customHeight="1" x14ac:dyDescent="0.25">
      <c r="I62" s="37"/>
    </row>
    <row r="63" spans="1:20" s="38" customFormat="1" ht="17.25" customHeight="1" x14ac:dyDescent="0.3">
      <c r="A63" s="39"/>
      <c r="B63" s="40"/>
      <c r="E63" s="39"/>
      <c r="F63" s="40"/>
      <c r="G63" s="39"/>
      <c r="I63" s="39"/>
      <c r="J63" s="40"/>
      <c r="K63" s="39"/>
      <c r="M63" s="39"/>
      <c r="N63" s="40"/>
      <c r="Q63" s="39"/>
      <c r="R63" s="40"/>
    </row>
    <row r="64" spans="1:20" ht="17.25" customHeight="1" x14ac:dyDescent="0.25">
      <c r="B64" s="37"/>
      <c r="F64" s="37"/>
      <c r="H64" s="37"/>
      <c r="I64" s="37"/>
      <c r="J64" s="37"/>
      <c r="N64" s="37"/>
      <c r="R64" s="37"/>
    </row>
    <row r="65" spans="2:18" ht="17.25" customHeight="1" x14ac:dyDescent="0.25">
      <c r="B65" s="37"/>
      <c r="F65" s="37"/>
      <c r="J65" s="37"/>
      <c r="N65" s="37"/>
      <c r="R65" s="37"/>
    </row>
    <row r="66" spans="2:18" ht="17.25" customHeight="1" x14ac:dyDescent="0.25">
      <c r="B66" s="37"/>
      <c r="F66" s="37"/>
      <c r="J66" s="37"/>
      <c r="N66" s="37"/>
      <c r="R66" s="37"/>
    </row>
    <row r="67" spans="2:18" ht="17.25" customHeight="1" x14ac:dyDescent="0.25">
      <c r="B67" s="37"/>
      <c r="F67" s="37"/>
      <c r="J67" s="37"/>
      <c r="N67" s="37"/>
      <c r="R67" s="37"/>
    </row>
    <row r="68" spans="2:18" ht="17.25" customHeight="1" x14ac:dyDescent="0.25">
      <c r="B68" s="37"/>
      <c r="F68" s="37"/>
      <c r="I68" s="37"/>
      <c r="J68" s="37"/>
      <c r="N68" s="37"/>
      <c r="R68" s="37"/>
    </row>
    <row r="69" spans="2:18" ht="17.25" customHeight="1" x14ac:dyDescent="0.25">
      <c r="B69" s="37"/>
      <c r="F69" s="37"/>
      <c r="J69" s="37"/>
      <c r="N69" s="37"/>
      <c r="R69" s="37"/>
    </row>
    <row r="70" spans="2:18" ht="17.25" customHeight="1" x14ac:dyDescent="0.25">
      <c r="B70" s="37"/>
      <c r="F70" s="37"/>
      <c r="I70" s="37"/>
      <c r="J70" s="37"/>
      <c r="N70" s="37"/>
      <c r="R70" s="37"/>
    </row>
    <row r="71" spans="2:18" ht="17.25" customHeight="1" x14ac:dyDescent="0.25">
      <c r="F71" s="37"/>
      <c r="N71" s="37"/>
      <c r="R71" s="37"/>
    </row>
  </sheetData>
  <mergeCells count="10">
    <mergeCell ref="A1:D1"/>
    <mergeCell ref="E1:H1"/>
    <mergeCell ref="I1:L1"/>
    <mergeCell ref="M1:P1"/>
    <mergeCell ref="Q1:T1"/>
    <mergeCell ref="A25:D25"/>
    <mergeCell ref="E25:H25"/>
    <mergeCell ref="I25:L25"/>
    <mergeCell ref="M25:P25"/>
    <mergeCell ref="Q25:T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3D1BF-F1A5-4031-B7E9-D0CF9661E83D}">
  <dimension ref="A1:J20"/>
  <sheetViews>
    <sheetView workbookViewId="0"/>
  </sheetViews>
  <sheetFormatPr defaultColWidth="10.44140625" defaultRowHeight="13.2" x14ac:dyDescent="0.25"/>
  <cols>
    <col min="1" max="1" width="2.44140625" style="7" bestFit="1" customWidth="1"/>
    <col min="2" max="2" width="23.33203125" style="7" customWidth="1"/>
    <col min="3" max="3" width="2.44140625" style="7" bestFit="1" customWidth="1"/>
    <col min="4" max="4" width="29.33203125" style="7" customWidth="1"/>
    <col min="5" max="5" width="2.44140625" style="7" bestFit="1" customWidth="1"/>
    <col min="6" max="6" width="36.44140625" style="7" customWidth="1"/>
    <col min="7" max="7" width="2.44140625" style="7" bestFit="1" customWidth="1"/>
    <col min="8" max="8" width="34.88671875" style="7" customWidth="1"/>
    <col min="9" max="9" width="2.44140625" style="7" bestFit="1" customWidth="1"/>
    <col min="10" max="10" width="18.5546875" style="7" bestFit="1" customWidth="1"/>
  </cols>
  <sheetData>
    <row r="1" spans="1:10" ht="28.8" customHeight="1" x14ac:dyDescent="0.3">
      <c r="A1" s="1"/>
      <c r="B1" s="1" t="s">
        <v>347</v>
      </c>
      <c r="C1" s="1"/>
      <c r="D1" s="1" t="s">
        <v>348</v>
      </c>
      <c r="E1" s="1"/>
      <c r="F1" s="1" t="s">
        <v>349</v>
      </c>
      <c r="G1" s="1"/>
      <c r="H1" s="1" t="s">
        <v>350</v>
      </c>
      <c r="I1" s="1"/>
      <c r="J1" s="1" t="s">
        <v>351</v>
      </c>
    </row>
    <row r="2" spans="1:10" ht="28.8" customHeight="1" x14ac:dyDescent="0.3">
      <c r="A2" s="1">
        <v>1</v>
      </c>
      <c r="B2" s="10" t="s">
        <v>358</v>
      </c>
      <c r="C2" s="1">
        <v>1</v>
      </c>
      <c r="D2" s="10" t="s">
        <v>365</v>
      </c>
      <c r="E2" s="1">
        <v>1</v>
      </c>
      <c r="F2" s="10" t="s">
        <v>371</v>
      </c>
      <c r="G2" s="1">
        <v>1</v>
      </c>
      <c r="H2" s="10" t="s">
        <v>378</v>
      </c>
      <c r="I2" s="1">
        <v>1</v>
      </c>
      <c r="J2" s="10" t="s">
        <v>383</v>
      </c>
    </row>
    <row r="3" spans="1:10" ht="28.8" customHeight="1" x14ac:dyDescent="0.3">
      <c r="A3" s="1">
        <v>2</v>
      </c>
      <c r="B3" s="10" t="s">
        <v>359</v>
      </c>
      <c r="C3" s="1">
        <v>2</v>
      </c>
      <c r="D3" s="10" t="s">
        <v>366</v>
      </c>
      <c r="E3" s="1">
        <v>2</v>
      </c>
      <c r="F3" s="10" t="s">
        <v>372</v>
      </c>
      <c r="G3" s="1">
        <v>2</v>
      </c>
      <c r="H3" s="10" t="s">
        <v>379</v>
      </c>
      <c r="I3" s="1">
        <v>2</v>
      </c>
      <c r="J3" s="10" t="s">
        <v>384</v>
      </c>
    </row>
    <row r="4" spans="1:10" ht="28.8" customHeight="1" x14ac:dyDescent="0.3">
      <c r="A4" s="1">
        <v>3</v>
      </c>
      <c r="B4" s="10" t="s">
        <v>360</v>
      </c>
      <c r="C4" s="1">
        <v>3</v>
      </c>
      <c r="D4" s="10" t="s">
        <v>367</v>
      </c>
      <c r="E4" s="1">
        <v>3</v>
      </c>
      <c r="F4" s="10" t="s">
        <v>373</v>
      </c>
      <c r="G4" s="1">
        <v>3</v>
      </c>
      <c r="H4" s="10" t="s">
        <v>380</v>
      </c>
      <c r="I4" s="1">
        <v>3</v>
      </c>
      <c r="J4" s="10" t="s">
        <v>385</v>
      </c>
    </row>
    <row r="5" spans="1:10" ht="28.8" customHeight="1" x14ac:dyDescent="0.3">
      <c r="A5" s="1">
        <v>4</v>
      </c>
      <c r="B5" s="10" t="s">
        <v>361</v>
      </c>
      <c r="C5" s="1">
        <v>4</v>
      </c>
      <c r="D5" s="10" t="s">
        <v>368</v>
      </c>
      <c r="E5" s="1">
        <v>4</v>
      </c>
      <c r="F5" s="10" t="s">
        <v>374</v>
      </c>
      <c r="G5" s="1">
        <v>4</v>
      </c>
      <c r="H5" s="10" t="s">
        <v>381</v>
      </c>
      <c r="I5" s="1">
        <v>4</v>
      </c>
      <c r="J5" s="10" t="s">
        <v>386</v>
      </c>
    </row>
    <row r="6" spans="1:10" ht="28.8" customHeight="1" x14ac:dyDescent="0.3">
      <c r="A6" s="1">
        <v>5</v>
      </c>
      <c r="B6" s="10" t="s">
        <v>362</v>
      </c>
      <c r="C6" s="1">
        <v>5</v>
      </c>
      <c r="D6" s="10" t="s">
        <v>369</v>
      </c>
      <c r="E6" s="1">
        <v>5</v>
      </c>
      <c r="F6" s="10" t="s">
        <v>375</v>
      </c>
      <c r="G6" s="1">
        <v>5</v>
      </c>
      <c r="H6" s="10" t="s">
        <v>382</v>
      </c>
      <c r="I6" s="1">
        <v>5</v>
      </c>
      <c r="J6" s="10" t="s">
        <v>387</v>
      </c>
    </row>
    <row r="7" spans="1:10" ht="28.8" customHeight="1" x14ac:dyDescent="0.3">
      <c r="A7" s="1">
        <v>6</v>
      </c>
      <c r="B7" s="10" t="s">
        <v>141</v>
      </c>
      <c r="C7" s="1">
        <v>6</v>
      </c>
      <c r="D7" s="10" t="s">
        <v>370</v>
      </c>
      <c r="E7" s="1">
        <v>6</v>
      </c>
      <c r="F7" s="10" t="s">
        <v>376</v>
      </c>
      <c r="G7" s="1">
        <v>6</v>
      </c>
      <c r="H7" s="10"/>
      <c r="I7" s="1">
        <v>6</v>
      </c>
      <c r="J7" s="10" t="s">
        <v>388</v>
      </c>
    </row>
    <row r="8" spans="1:10" ht="28.8" customHeight="1" x14ac:dyDescent="0.3">
      <c r="A8" s="1">
        <v>7</v>
      </c>
      <c r="B8" s="10" t="s">
        <v>363</v>
      </c>
      <c r="C8" s="1">
        <v>7</v>
      </c>
      <c r="D8" s="10"/>
      <c r="E8" s="1">
        <v>7</v>
      </c>
      <c r="F8" s="10" t="s">
        <v>116</v>
      </c>
      <c r="G8" s="1">
        <v>7</v>
      </c>
      <c r="H8" s="10"/>
      <c r="I8" s="1">
        <v>7</v>
      </c>
      <c r="J8" s="10" t="s">
        <v>389</v>
      </c>
    </row>
    <row r="9" spans="1:10" ht="28.8" customHeight="1" x14ac:dyDescent="0.3">
      <c r="A9" s="1">
        <v>8</v>
      </c>
      <c r="B9" s="10" t="s">
        <v>364</v>
      </c>
      <c r="C9" s="1">
        <v>8</v>
      </c>
      <c r="D9" s="10"/>
      <c r="E9" s="1">
        <v>8</v>
      </c>
      <c r="F9" s="10" t="s">
        <v>377</v>
      </c>
      <c r="G9" s="1">
        <v>8</v>
      </c>
      <c r="H9" s="10"/>
      <c r="I9" s="1">
        <v>8</v>
      </c>
      <c r="J9" s="10" t="s">
        <v>390</v>
      </c>
    </row>
    <row r="10" spans="1:10" ht="28.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8.8" customHeight="1" x14ac:dyDescent="0.3">
      <c r="A11" s="1"/>
      <c r="B11" s="1" t="s">
        <v>352</v>
      </c>
      <c r="C11" s="1"/>
      <c r="D11" s="1" t="s">
        <v>353</v>
      </c>
      <c r="E11" s="1"/>
      <c r="F11" s="1" t="s">
        <v>354</v>
      </c>
      <c r="G11" s="1"/>
      <c r="H11" s="1" t="s">
        <v>355</v>
      </c>
    </row>
    <row r="12" spans="1:10" ht="28.8" customHeight="1" x14ac:dyDescent="0.3">
      <c r="A12" s="1">
        <v>1</v>
      </c>
      <c r="B12" s="10" t="s">
        <v>391</v>
      </c>
      <c r="C12" s="1">
        <v>1</v>
      </c>
      <c r="D12" s="10" t="s">
        <v>101</v>
      </c>
      <c r="E12" s="1">
        <v>1</v>
      </c>
      <c r="F12" s="10" t="s">
        <v>402</v>
      </c>
      <c r="G12" s="1">
        <v>1</v>
      </c>
      <c r="H12" s="10" t="s">
        <v>409</v>
      </c>
    </row>
    <row r="13" spans="1:10" ht="28.8" customHeight="1" x14ac:dyDescent="0.3">
      <c r="A13" s="1">
        <v>2</v>
      </c>
      <c r="B13" s="10" t="s">
        <v>392</v>
      </c>
      <c r="C13" s="1">
        <v>2</v>
      </c>
      <c r="D13" s="10" t="s">
        <v>396</v>
      </c>
      <c r="E13" s="1">
        <v>2</v>
      </c>
      <c r="F13" s="10" t="s">
        <v>403</v>
      </c>
      <c r="G13" s="1">
        <v>2</v>
      </c>
      <c r="H13" s="10" t="s">
        <v>410</v>
      </c>
    </row>
    <row r="14" spans="1:10" ht="28.8" customHeight="1" x14ac:dyDescent="0.3">
      <c r="A14" s="1">
        <v>3</v>
      </c>
      <c r="B14" s="10" t="s">
        <v>393</v>
      </c>
      <c r="C14" s="1">
        <v>3</v>
      </c>
      <c r="D14" s="10" t="s">
        <v>397</v>
      </c>
      <c r="E14" s="1">
        <v>3</v>
      </c>
      <c r="F14" s="10" t="s">
        <v>404</v>
      </c>
      <c r="G14" s="1">
        <v>3</v>
      </c>
      <c r="H14" s="10" t="s">
        <v>411</v>
      </c>
    </row>
    <row r="15" spans="1:10" ht="28.8" customHeight="1" x14ac:dyDescent="0.3">
      <c r="A15" s="1">
        <v>4</v>
      </c>
      <c r="B15" s="10" t="s">
        <v>394</v>
      </c>
      <c r="C15" s="1">
        <v>4</v>
      </c>
      <c r="D15" s="10" t="s">
        <v>398</v>
      </c>
      <c r="E15" s="1">
        <v>4</v>
      </c>
      <c r="F15" s="10" t="s">
        <v>405</v>
      </c>
      <c r="G15" s="1">
        <v>4</v>
      </c>
      <c r="H15" s="10" t="s">
        <v>412</v>
      </c>
    </row>
    <row r="16" spans="1:10" ht="28.8" customHeight="1" x14ac:dyDescent="0.3">
      <c r="A16" s="1">
        <v>5</v>
      </c>
      <c r="B16" s="10" t="s">
        <v>395</v>
      </c>
      <c r="C16" s="1">
        <v>5</v>
      </c>
      <c r="D16" s="10" t="s">
        <v>399</v>
      </c>
      <c r="E16" s="1">
        <v>5</v>
      </c>
      <c r="F16" s="10" t="s">
        <v>121</v>
      </c>
      <c r="G16" s="1">
        <v>5</v>
      </c>
      <c r="H16" s="10" t="s">
        <v>413</v>
      </c>
    </row>
    <row r="17" spans="1:8" ht="28.8" customHeight="1" x14ac:dyDescent="0.3">
      <c r="A17" s="1">
        <v>6</v>
      </c>
      <c r="B17" s="10" t="s">
        <v>114</v>
      </c>
      <c r="C17" s="1">
        <v>6</v>
      </c>
      <c r="D17" s="10" t="s">
        <v>118</v>
      </c>
      <c r="E17" s="1">
        <v>6</v>
      </c>
      <c r="F17" s="10" t="s">
        <v>406</v>
      </c>
      <c r="G17" s="1">
        <v>6</v>
      </c>
      <c r="H17" s="10"/>
    </row>
    <row r="18" spans="1:8" ht="28.8" customHeight="1" x14ac:dyDescent="0.3">
      <c r="A18" s="1">
        <v>7</v>
      </c>
      <c r="B18" s="10"/>
      <c r="C18" s="1">
        <v>7</v>
      </c>
      <c r="D18" s="10" t="s">
        <v>400</v>
      </c>
      <c r="E18" s="1">
        <v>7</v>
      </c>
      <c r="F18" s="10" t="s">
        <v>407</v>
      </c>
      <c r="G18" s="1">
        <v>7</v>
      </c>
      <c r="H18" s="10"/>
    </row>
    <row r="19" spans="1:8" ht="28.8" customHeight="1" x14ac:dyDescent="0.3">
      <c r="A19" s="1">
        <v>8</v>
      </c>
      <c r="B19" s="10"/>
      <c r="C19" s="1">
        <v>8</v>
      </c>
      <c r="D19" s="10" t="s">
        <v>401</v>
      </c>
      <c r="E19" s="1">
        <v>8</v>
      </c>
      <c r="F19" s="10" t="s">
        <v>408</v>
      </c>
      <c r="G19" s="1">
        <v>8</v>
      </c>
      <c r="H19" s="10"/>
    </row>
    <row r="20" spans="1:8" ht="27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9C3CA-6EA9-43C1-8D1B-90EBDBDC6579}">
  <dimension ref="A1:G134"/>
  <sheetViews>
    <sheetView zoomScale="145" zoomScaleNormal="145" workbookViewId="0"/>
  </sheetViews>
  <sheetFormatPr defaultRowHeight="13.2" x14ac:dyDescent="0.25"/>
  <cols>
    <col min="1" max="1" width="8.88671875" style="7"/>
    <col min="2" max="2" width="13.88671875" customWidth="1"/>
    <col min="3" max="3" width="20.77734375" customWidth="1"/>
    <col min="4" max="5" width="13.88671875" customWidth="1"/>
    <col min="6" max="6" width="15.21875" customWidth="1"/>
    <col min="7" max="7" width="11.5546875" style="11" customWidth="1"/>
  </cols>
  <sheetData>
    <row r="1" spans="1:7" s="8" customFormat="1" x14ac:dyDescent="0.25">
      <c r="A1" s="8" t="s">
        <v>91</v>
      </c>
      <c r="B1" s="8" t="s">
        <v>92</v>
      </c>
      <c r="C1" s="8" t="s">
        <v>90</v>
      </c>
      <c r="F1" s="8" t="s">
        <v>93</v>
      </c>
      <c r="G1" s="41" t="s">
        <v>94</v>
      </c>
    </row>
    <row r="2" spans="1:7" x14ac:dyDescent="0.25">
      <c r="A2" s="7">
        <v>1</v>
      </c>
      <c r="B2" s="9" t="s">
        <v>351</v>
      </c>
      <c r="C2" s="9" t="s">
        <v>143</v>
      </c>
      <c r="D2" s="9" t="s">
        <v>0</v>
      </c>
      <c r="E2" s="9" t="s">
        <v>132</v>
      </c>
      <c r="F2" s="9" t="s">
        <v>350</v>
      </c>
      <c r="G2" s="11">
        <v>25</v>
      </c>
    </row>
    <row r="3" spans="1:7" x14ac:dyDescent="0.25">
      <c r="A3" s="7">
        <v>2</v>
      </c>
      <c r="B3" s="9" t="s">
        <v>347</v>
      </c>
      <c r="C3" s="9" t="s">
        <v>144</v>
      </c>
      <c r="D3" s="9" t="s">
        <v>9</v>
      </c>
      <c r="E3" s="9" t="s">
        <v>126</v>
      </c>
      <c r="F3" s="9" t="s">
        <v>351</v>
      </c>
      <c r="G3" s="11">
        <v>12</v>
      </c>
    </row>
    <row r="4" spans="1:7" x14ac:dyDescent="0.25">
      <c r="A4" s="7">
        <v>3</v>
      </c>
      <c r="B4" s="9" t="s">
        <v>352</v>
      </c>
      <c r="C4" s="9" t="s">
        <v>145</v>
      </c>
      <c r="D4" s="9" t="s">
        <v>9</v>
      </c>
      <c r="E4" s="9" t="s">
        <v>128</v>
      </c>
      <c r="F4" s="9" t="s">
        <v>354</v>
      </c>
      <c r="G4" s="11">
        <v>43</v>
      </c>
    </row>
    <row r="5" spans="1:7" x14ac:dyDescent="0.25">
      <c r="A5" s="7">
        <v>4</v>
      </c>
      <c r="B5" s="9" t="s">
        <v>354</v>
      </c>
      <c r="C5" s="9" t="s">
        <v>146</v>
      </c>
      <c r="D5" s="9" t="s">
        <v>7</v>
      </c>
      <c r="E5" s="9" t="s">
        <v>134</v>
      </c>
      <c r="F5" s="9" t="s">
        <v>350</v>
      </c>
      <c r="G5" s="11">
        <v>28</v>
      </c>
    </row>
    <row r="6" spans="1:7" x14ac:dyDescent="0.25">
      <c r="A6" s="7">
        <v>5</v>
      </c>
      <c r="B6" s="9" t="s">
        <v>353</v>
      </c>
      <c r="C6" s="9" t="s">
        <v>99</v>
      </c>
      <c r="D6" s="9" t="s">
        <v>9</v>
      </c>
      <c r="E6" s="9" t="s">
        <v>126</v>
      </c>
      <c r="F6" s="9" t="s">
        <v>352</v>
      </c>
      <c r="G6" s="11">
        <v>38</v>
      </c>
    </row>
    <row r="7" spans="1:7" x14ac:dyDescent="0.25">
      <c r="A7" s="7">
        <v>6</v>
      </c>
      <c r="B7" s="9" t="s">
        <v>348</v>
      </c>
      <c r="C7" s="9" t="s">
        <v>147</v>
      </c>
      <c r="D7" s="9" t="s">
        <v>5</v>
      </c>
      <c r="E7" s="9" t="s">
        <v>131</v>
      </c>
      <c r="F7" s="9" t="s">
        <v>352</v>
      </c>
      <c r="G7" s="11">
        <v>18</v>
      </c>
    </row>
    <row r="8" spans="1:7" x14ac:dyDescent="0.25">
      <c r="A8" s="7">
        <v>7</v>
      </c>
      <c r="B8" s="9" t="s">
        <v>349</v>
      </c>
      <c r="C8" s="9" t="s">
        <v>148</v>
      </c>
      <c r="D8" s="9" t="s">
        <v>2</v>
      </c>
      <c r="E8" s="9" t="s">
        <v>130</v>
      </c>
      <c r="F8" s="9" t="s">
        <v>349</v>
      </c>
      <c r="G8" s="11">
        <v>36</v>
      </c>
    </row>
    <row r="9" spans="1:7" x14ac:dyDescent="0.25">
      <c r="A9" s="7">
        <v>8</v>
      </c>
      <c r="B9" s="9" t="s">
        <v>350</v>
      </c>
      <c r="C9" s="9" t="s">
        <v>149</v>
      </c>
      <c r="D9" s="9" t="s">
        <v>150</v>
      </c>
      <c r="E9" s="9" t="s">
        <v>131</v>
      </c>
      <c r="F9" s="9" t="s">
        <v>354</v>
      </c>
      <c r="G9" s="11">
        <v>33</v>
      </c>
    </row>
    <row r="10" spans="1:7" x14ac:dyDescent="0.25">
      <c r="A10" s="7">
        <v>9</v>
      </c>
      <c r="B10" s="9" t="s">
        <v>355</v>
      </c>
      <c r="C10" s="9" t="s">
        <v>151</v>
      </c>
      <c r="D10" s="9" t="s">
        <v>5</v>
      </c>
      <c r="E10" s="9" t="s">
        <v>138</v>
      </c>
      <c r="F10" s="9" t="s">
        <v>353</v>
      </c>
      <c r="G10" s="11">
        <v>25</v>
      </c>
    </row>
    <row r="11" spans="1:7" x14ac:dyDescent="0.25">
      <c r="A11" s="7">
        <v>10</v>
      </c>
      <c r="B11" s="9" t="s">
        <v>351</v>
      </c>
      <c r="C11" s="9" t="s">
        <v>152</v>
      </c>
      <c r="D11" s="9" t="s">
        <v>4</v>
      </c>
      <c r="E11" s="9" t="s">
        <v>136</v>
      </c>
      <c r="F11" s="9" t="s">
        <v>352</v>
      </c>
      <c r="G11" s="11">
        <v>25</v>
      </c>
    </row>
    <row r="12" spans="1:7" x14ac:dyDescent="0.25">
      <c r="A12" s="7">
        <v>11</v>
      </c>
      <c r="B12" s="9" t="s">
        <v>347</v>
      </c>
      <c r="C12" s="9" t="s">
        <v>153</v>
      </c>
      <c r="D12" s="9" t="s">
        <v>4</v>
      </c>
      <c r="E12" s="9" t="s">
        <v>138</v>
      </c>
      <c r="F12" s="9" t="s">
        <v>353</v>
      </c>
      <c r="G12" s="11">
        <v>31</v>
      </c>
    </row>
    <row r="13" spans="1:7" x14ac:dyDescent="0.25">
      <c r="A13" s="7">
        <v>12</v>
      </c>
      <c r="B13" s="9" t="s">
        <v>352</v>
      </c>
      <c r="C13" s="9" t="s">
        <v>357</v>
      </c>
      <c r="D13" s="9" t="s">
        <v>5</v>
      </c>
      <c r="E13" s="9" t="s">
        <v>134</v>
      </c>
      <c r="F13" s="9" t="s">
        <v>352</v>
      </c>
      <c r="G13" s="11">
        <v>1</v>
      </c>
    </row>
    <row r="14" spans="1:7" x14ac:dyDescent="0.25">
      <c r="A14" s="7">
        <v>13</v>
      </c>
      <c r="B14" s="9" t="s">
        <v>354</v>
      </c>
      <c r="C14" s="9" t="s">
        <v>97</v>
      </c>
      <c r="D14" s="9" t="s">
        <v>4</v>
      </c>
      <c r="E14" s="9" t="s">
        <v>137</v>
      </c>
      <c r="F14" s="9" t="s">
        <v>348</v>
      </c>
      <c r="G14" s="11">
        <v>26</v>
      </c>
    </row>
    <row r="15" spans="1:7" x14ac:dyDescent="0.25">
      <c r="A15" s="7">
        <v>14</v>
      </c>
      <c r="B15" s="9" t="s">
        <v>353</v>
      </c>
      <c r="C15" s="9" t="s">
        <v>112</v>
      </c>
      <c r="D15" s="9" t="s">
        <v>14</v>
      </c>
      <c r="E15" s="9" t="s">
        <v>134</v>
      </c>
      <c r="F15" s="9" t="s">
        <v>349</v>
      </c>
      <c r="G15" s="11">
        <v>11</v>
      </c>
    </row>
    <row r="16" spans="1:7" x14ac:dyDescent="0.25">
      <c r="A16" s="7">
        <v>15</v>
      </c>
      <c r="B16" s="9" t="s">
        <v>348</v>
      </c>
      <c r="C16" s="9" t="s">
        <v>154</v>
      </c>
      <c r="D16" s="9" t="s">
        <v>14</v>
      </c>
      <c r="E16" s="9" t="s">
        <v>139</v>
      </c>
      <c r="F16" s="9" t="s">
        <v>353</v>
      </c>
      <c r="G16" s="11">
        <v>15</v>
      </c>
    </row>
    <row r="17" spans="1:7" x14ac:dyDescent="0.25">
      <c r="A17" s="7">
        <v>16</v>
      </c>
      <c r="B17" s="9" t="s">
        <v>349</v>
      </c>
      <c r="C17" s="9" t="s">
        <v>155</v>
      </c>
      <c r="D17" s="9" t="s">
        <v>14</v>
      </c>
      <c r="E17" s="9" t="s">
        <v>128</v>
      </c>
      <c r="F17" s="9" t="s">
        <v>348</v>
      </c>
      <c r="G17" s="11">
        <v>32</v>
      </c>
    </row>
    <row r="18" spans="1:7" x14ac:dyDescent="0.25">
      <c r="A18" s="7">
        <v>17</v>
      </c>
      <c r="B18" s="9" t="s">
        <v>350</v>
      </c>
      <c r="C18" s="9" t="s">
        <v>156</v>
      </c>
      <c r="D18" s="9" t="s">
        <v>157</v>
      </c>
      <c r="E18" s="9" t="s">
        <v>133</v>
      </c>
      <c r="F18" s="9" t="s">
        <v>347</v>
      </c>
      <c r="G18" s="11">
        <v>13</v>
      </c>
    </row>
    <row r="19" spans="1:7" x14ac:dyDescent="0.25">
      <c r="A19" s="7">
        <v>18</v>
      </c>
      <c r="B19" s="9" t="s">
        <v>355</v>
      </c>
      <c r="C19" s="9" t="s">
        <v>158</v>
      </c>
      <c r="D19" s="9" t="s">
        <v>7</v>
      </c>
      <c r="E19" s="9" t="s">
        <v>135</v>
      </c>
      <c r="F19" s="9" t="s">
        <v>355</v>
      </c>
      <c r="G19" s="11">
        <v>11</v>
      </c>
    </row>
    <row r="20" spans="1:7" x14ac:dyDescent="0.25">
      <c r="A20" s="7">
        <v>19</v>
      </c>
      <c r="B20" s="9" t="s">
        <v>351</v>
      </c>
      <c r="C20" s="9" t="s">
        <v>160</v>
      </c>
      <c r="D20" s="9" t="s">
        <v>4</v>
      </c>
      <c r="E20" s="9" t="s">
        <v>127</v>
      </c>
      <c r="F20" s="9" t="s">
        <v>347</v>
      </c>
      <c r="G20" s="11">
        <v>20</v>
      </c>
    </row>
    <row r="21" spans="1:7" x14ac:dyDescent="0.25">
      <c r="A21" s="7">
        <v>20</v>
      </c>
      <c r="B21" s="9" t="s">
        <v>347</v>
      </c>
      <c r="C21" s="9" t="s">
        <v>161</v>
      </c>
      <c r="D21" s="9" t="s">
        <v>4</v>
      </c>
      <c r="E21" s="9" t="s">
        <v>130</v>
      </c>
      <c r="F21" s="9" t="s">
        <v>355</v>
      </c>
      <c r="G21" s="11">
        <v>11</v>
      </c>
    </row>
    <row r="22" spans="1:7" x14ac:dyDescent="0.25">
      <c r="A22" s="7">
        <v>21</v>
      </c>
      <c r="B22" s="9" t="s">
        <v>352</v>
      </c>
      <c r="C22" s="9" t="s">
        <v>162</v>
      </c>
      <c r="D22" s="9" t="s">
        <v>2</v>
      </c>
      <c r="E22" s="9" t="s">
        <v>138</v>
      </c>
      <c r="F22" s="9" t="s">
        <v>347</v>
      </c>
      <c r="G22" s="11">
        <v>35</v>
      </c>
    </row>
    <row r="23" spans="1:7" x14ac:dyDescent="0.25">
      <c r="A23" s="7">
        <v>22</v>
      </c>
      <c r="B23" s="9" t="s">
        <v>354</v>
      </c>
      <c r="C23" s="9" t="s">
        <v>113</v>
      </c>
      <c r="D23" s="9" t="s">
        <v>9</v>
      </c>
      <c r="E23" s="9" t="s">
        <v>133</v>
      </c>
      <c r="F23" s="9" t="s">
        <v>349</v>
      </c>
      <c r="G23" s="11">
        <v>17</v>
      </c>
    </row>
    <row r="24" spans="1:7" x14ac:dyDescent="0.25">
      <c r="A24" s="7">
        <v>23</v>
      </c>
      <c r="B24" s="9" t="s">
        <v>353</v>
      </c>
      <c r="C24" s="9" t="s">
        <v>163</v>
      </c>
      <c r="D24" s="9" t="s">
        <v>14</v>
      </c>
      <c r="E24" s="9" t="s">
        <v>134</v>
      </c>
      <c r="F24" s="9" t="s">
        <v>349</v>
      </c>
      <c r="G24" s="11">
        <v>18</v>
      </c>
    </row>
    <row r="25" spans="1:7" x14ac:dyDescent="0.25">
      <c r="A25" s="7">
        <v>24</v>
      </c>
      <c r="B25" s="9" t="s">
        <v>348</v>
      </c>
      <c r="C25" s="9" t="s">
        <v>164</v>
      </c>
      <c r="D25" s="9" t="s">
        <v>0</v>
      </c>
      <c r="E25" s="9" t="s">
        <v>134</v>
      </c>
      <c r="F25" s="9" t="s">
        <v>350</v>
      </c>
      <c r="G25" s="11">
        <v>18</v>
      </c>
    </row>
    <row r="26" spans="1:7" x14ac:dyDescent="0.25">
      <c r="A26" s="7">
        <v>25</v>
      </c>
      <c r="B26" s="9" t="s">
        <v>349</v>
      </c>
      <c r="C26" s="9" t="s">
        <v>165</v>
      </c>
      <c r="D26" s="9" t="s">
        <v>14</v>
      </c>
      <c r="E26" s="9" t="s">
        <v>131</v>
      </c>
      <c r="F26" s="9" t="s">
        <v>349</v>
      </c>
      <c r="G26" s="11">
        <v>31</v>
      </c>
    </row>
    <row r="27" spans="1:7" x14ac:dyDescent="0.25">
      <c r="A27" s="7">
        <v>26</v>
      </c>
      <c r="B27" s="9" t="s">
        <v>350</v>
      </c>
      <c r="C27" s="9" t="s">
        <v>166</v>
      </c>
      <c r="D27" s="9" t="s">
        <v>14</v>
      </c>
      <c r="E27" s="9" t="s">
        <v>131</v>
      </c>
      <c r="F27" s="9" t="s">
        <v>348</v>
      </c>
      <c r="G27" s="11">
        <v>11</v>
      </c>
    </row>
    <row r="28" spans="1:7" x14ac:dyDescent="0.25">
      <c r="A28" s="7">
        <v>27</v>
      </c>
      <c r="B28" s="9" t="s">
        <v>355</v>
      </c>
      <c r="C28" s="9" t="s">
        <v>167</v>
      </c>
      <c r="D28" s="9" t="s">
        <v>14</v>
      </c>
      <c r="E28" s="9" t="s">
        <v>133</v>
      </c>
      <c r="F28" s="9" t="s">
        <v>349</v>
      </c>
      <c r="G28" s="11">
        <v>25</v>
      </c>
    </row>
    <row r="29" spans="1:7" x14ac:dyDescent="0.25">
      <c r="A29" s="7">
        <v>28</v>
      </c>
      <c r="B29" s="9" t="s">
        <v>351</v>
      </c>
      <c r="C29" s="9" t="s">
        <v>168</v>
      </c>
      <c r="D29" s="9" t="s">
        <v>9</v>
      </c>
      <c r="E29" s="9" t="s">
        <v>131</v>
      </c>
      <c r="F29" s="9" t="s">
        <v>355</v>
      </c>
      <c r="G29" s="11">
        <v>27</v>
      </c>
    </row>
    <row r="30" spans="1:7" x14ac:dyDescent="0.25">
      <c r="A30" s="7">
        <v>29</v>
      </c>
      <c r="B30" s="9" t="s">
        <v>347</v>
      </c>
      <c r="C30" s="9" t="s">
        <v>169</v>
      </c>
      <c r="D30" s="9" t="s">
        <v>5</v>
      </c>
      <c r="E30" s="9" t="s">
        <v>129</v>
      </c>
      <c r="F30" s="9" t="s">
        <v>347</v>
      </c>
      <c r="G30" s="11">
        <v>18</v>
      </c>
    </row>
    <row r="31" spans="1:7" x14ac:dyDescent="0.25">
      <c r="A31" s="7">
        <v>30</v>
      </c>
      <c r="B31" s="9" t="s">
        <v>352</v>
      </c>
      <c r="C31" s="9" t="s">
        <v>170</v>
      </c>
      <c r="D31" s="9" t="s">
        <v>14</v>
      </c>
      <c r="E31" s="9" t="s">
        <v>131</v>
      </c>
      <c r="F31" s="9" t="s">
        <v>347</v>
      </c>
      <c r="G31" s="11">
        <v>18</v>
      </c>
    </row>
    <row r="32" spans="1:7" x14ac:dyDescent="0.25">
      <c r="A32" s="7">
        <v>31</v>
      </c>
      <c r="B32" s="9" t="s">
        <v>354</v>
      </c>
      <c r="C32" s="9" t="s">
        <v>171</v>
      </c>
      <c r="D32" s="9" t="s">
        <v>9</v>
      </c>
      <c r="E32" s="9" t="s">
        <v>137</v>
      </c>
      <c r="F32" s="9" t="s">
        <v>347</v>
      </c>
      <c r="G32" s="11">
        <v>17</v>
      </c>
    </row>
    <row r="33" spans="1:7" x14ac:dyDescent="0.25">
      <c r="A33" s="7">
        <v>32</v>
      </c>
      <c r="B33" s="9" t="s">
        <v>353</v>
      </c>
      <c r="C33" s="9" t="s">
        <v>173</v>
      </c>
      <c r="D33" s="9" t="s">
        <v>14</v>
      </c>
      <c r="E33" s="9" t="s">
        <v>130</v>
      </c>
      <c r="F33" s="9" t="s">
        <v>350</v>
      </c>
      <c r="G33" s="11">
        <v>9</v>
      </c>
    </row>
    <row r="34" spans="1:7" x14ac:dyDescent="0.25">
      <c r="A34" s="7">
        <v>33</v>
      </c>
      <c r="B34" s="9" t="s">
        <v>348</v>
      </c>
      <c r="C34" s="9" t="s">
        <v>175</v>
      </c>
      <c r="D34" s="9" t="s">
        <v>9</v>
      </c>
      <c r="E34" s="9" t="s">
        <v>136</v>
      </c>
      <c r="F34" s="9" t="s">
        <v>350</v>
      </c>
      <c r="G34" s="11">
        <v>8</v>
      </c>
    </row>
    <row r="35" spans="1:7" x14ac:dyDescent="0.25">
      <c r="A35" s="7">
        <v>34</v>
      </c>
      <c r="B35" s="9" t="s">
        <v>349</v>
      </c>
      <c r="C35" s="9" t="s">
        <v>176</v>
      </c>
      <c r="D35" s="9" t="s">
        <v>14</v>
      </c>
      <c r="E35" s="9" t="s">
        <v>130</v>
      </c>
      <c r="F35" s="9" t="s">
        <v>348</v>
      </c>
      <c r="G35" s="11">
        <v>30</v>
      </c>
    </row>
    <row r="36" spans="1:7" x14ac:dyDescent="0.25">
      <c r="A36" s="7">
        <v>35</v>
      </c>
      <c r="B36" s="9" t="s">
        <v>350</v>
      </c>
      <c r="C36" s="9" t="s">
        <v>177</v>
      </c>
      <c r="D36" s="9" t="s">
        <v>7</v>
      </c>
      <c r="E36" s="9" t="s">
        <v>128</v>
      </c>
      <c r="F36" s="9" t="s">
        <v>351</v>
      </c>
      <c r="G36" s="11">
        <v>7</v>
      </c>
    </row>
    <row r="37" spans="1:7" x14ac:dyDescent="0.25">
      <c r="A37" s="7">
        <v>36</v>
      </c>
      <c r="B37" s="9" t="s">
        <v>355</v>
      </c>
      <c r="C37" s="9" t="s">
        <v>120</v>
      </c>
      <c r="D37" s="9" t="s">
        <v>2</v>
      </c>
      <c r="E37" s="9" t="s">
        <v>127</v>
      </c>
      <c r="F37" s="9" t="s">
        <v>353</v>
      </c>
      <c r="G37" s="11">
        <v>33</v>
      </c>
    </row>
    <row r="38" spans="1:7" x14ac:dyDescent="0.25">
      <c r="A38" s="7">
        <v>37</v>
      </c>
      <c r="B38" s="9" t="s">
        <v>351</v>
      </c>
      <c r="C38" s="9" t="s">
        <v>104</v>
      </c>
      <c r="D38" s="9" t="s">
        <v>14</v>
      </c>
      <c r="E38" s="9" t="s">
        <v>139</v>
      </c>
      <c r="F38" s="9" t="s">
        <v>350</v>
      </c>
      <c r="G38" s="11">
        <v>12</v>
      </c>
    </row>
    <row r="39" spans="1:7" x14ac:dyDescent="0.25">
      <c r="A39" s="7">
        <v>38</v>
      </c>
      <c r="B39" s="9" t="s">
        <v>347</v>
      </c>
      <c r="C39" s="9" t="s">
        <v>181</v>
      </c>
      <c r="D39" s="9" t="s">
        <v>2</v>
      </c>
      <c r="E39" s="9" t="s">
        <v>131</v>
      </c>
      <c r="F39" s="9" t="s">
        <v>353</v>
      </c>
      <c r="G39" s="11">
        <v>20</v>
      </c>
    </row>
    <row r="40" spans="1:7" x14ac:dyDescent="0.25">
      <c r="A40" s="7">
        <v>39</v>
      </c>
      <c r="B40" s="9" t="s">
        <v>352</v>
      </c>
      <c r="C40" s="9" t="s">
        <v>183</v>
      </c>
      <c r="D40" s="9" t="s">
        <v>9</v>
      </c>
      <c r="E40" s="9" t="s">
        <v>135</v>
      </c>
      <c r="F40" s="9" t="s">
        <v>352</v>
      </c>
      <c r="G40" s="11">
        <v>16</v>
      </c>
    </row>
    <row r="41" spans="1:7" x14ac:dyDescent="0.25">
      <c r="A41" s="7">
        <v>40</v>
      </c>
      <c r="B41" s="9" t="s">
        <v>354</v>
      </c>
      <c r="C41" s="9" t="s">
        <v>117</v>
      </c>
      <c r="D41" s="9" t="s">
        <v>14</v>
      </c>
      <c r="E41" s="9" t="s">
        <v>130</v>
      </c>
      <c r="F41" s="9" t="s">
        <v>350</v>
      </c>
      <c r="G41" s="11">
        <v>21</v>
      </c>
    </row>
    <row r="42" spans="1:7" x14ac:dyDescent="0.25">
      <c r="A42" s="7">
        <v>41</v>
      </c>
      <c r="B42" s="9" t="s">
        <v>353</v>
      </c>
      <c r="C42" s="9" t="s">
        <v>186</v>
      </c>
      <c r="D42" s="9" t="s">
        <v>14</v>
      </c>
      <c r="E42" s="9" t="s">
        <v>134</v>
      </c>
      <c r="F42" s="9" t="s">
        <v>354</v>
      </c>
      <c r="G42" s="11">
        <v>20</v>
      </c>
    </row>
    <row r="43" spans="1:7" x14ac:dyDescent="0.25">
      <c r="A43" s="7">
        <v>42</v>
      </c>
      <c r="B43" s="9" t="s">
        <v>348</v>
      </c>
      <c r="C43" s="9" t="s">
        <v>188</v>
      </c>
      <c r="D43" s="9" t="s">
        <v>9</v>
      </c>
      <c r="E43" s="9" t="s">
        <v>134</v>
      </c>
      <c r="F43" s="9" t="s">
        <v>347</v>
      </c>
      <c r="G43" s="11">
        <v>18</v>
      </c>
    </row>
    <row r="44" spans="1:7" x14ac:dyDescent="0.25">
      <c r="A44" s="7">
        <v>43</v>
      </c>
      <c r="B44" s="9" t="s">
        <v>349</v>
      </c>
      <c r="C44" s="9" t="s">
        <v>189</v>
      </c>
      <c r="D44" s="9" t="s">
        <v>14</v>
      </c>
      <c r="E44" s="9" t="s">
        <v>137</v>
      </c>
      <c r="F44" s="9" t="s">
        <v>348</v>
      </c>
      <c r="G44" s="11">
        <v>18</v>
      </c>
    </row>
    <row r="45" spans="1:7" x14ac:dyDescent="0.25">
      <c r="A45" s="7">
        <v>44</v>
      </c>
      <c r="B45" s="9" t="s">
        <v>350</v>
      </c>
      <c r="C45" s="9" t="s">
        <v>190</v>
      </c>
      <c r="D45" s="9" t="s">
        <v>191</v>
      </c>
      <c r="E45" s="9" t="s">
        <v>136</v>
      </c>
      <c r="F45" s="9" t="s">
        <v>352</v>
      </c>
      <c r="G45" s="11">
        <v>16</v>
      </c>
    </row>
    <row r="46" spans="1:7" x14ac:dyDescent="0.25">
      <c r="A46" s="7">
        <v>45</v>
      </c>
      <c r="B46" s="9" t="s">
        <v>355</v>
      </c>
      <c r="C46" s="9" t="s">
        <v>109</v>
      </c>
      <c r="D46" s="9" t="s">
        <v>9</v>
      </c>
      <c r="E46" s="9" t="s">
        <v>135</v>
      </c>
      <c r="F46" s="9" t="s">
        <v>355</v>
      </c>
      <c r="G46" s="11">
        <v>14</v>
      </c>
    </row>
    <row r="47" spans="1:7" x14ac:dyDescent="0.25">
      <c r="A47" s="7">
        <v>46</v>
      </c>
      <c r="B47" s="9" t="s">
        <v>351</v>
      </c>
      <c r="C47" s="9" t="s">
        <v>194</v>
      </c>
      <c r="D47" s="9" t="s">
        <v>5</v>
      </c>
      <c r="E47" s="9" t="s">
        <v>129</v>
      </c>
      <c r="F47" s="9" t="s">
        <v>349</v>
      </c>
      <c r="G47" s="11">
        <v>17</v>
      </c>
    </row>
    <row r="48" spans="1:7" x14ac:dyDescent="0.25">
      <c r="A48" s="7">
        <v>47</v>
      </c>
      <c r="B48" s="9" t="s">
        <v>347</v>
      </c>
      <c r="C48" s="9" t="s">
        <v>195</v>
      </c>
      <c r="D48" s="9" t="s">
        <v>14</v>
      </c>
      <c r="E48" s="9" t="s">
        <v>128</v>
      </c>
      <c r="F48" s="9" t="s">
        <v>347</v>
      </c>
      <c r="G48" s="11">
        <v>5</v>
      </c>
    </row>
    <row r="49" spans="1:7" x14ac:dyDescent="0.25">
      <c r="A49" s="7">
        <v>48</v>
      </c>
      <c r="B49" s="9" t="s">
        <v>352</v>
      </c>
      <c r="C49" s="9" t="s">
        <v>197</v>
      </c>
      <c r="D49" s="9" t="s">
        <v>2</v>
      </c>
      <c r="E49" s="9" t="s">
        <v>139</v>
      </c>
      <c r="F49" s="9" t="s">
        <v>347</v>
      </c>
      <c r="G49" s="11">
        <v>5</v>
      </c>
    </row>
    <row r="50" spans="1:7" x14ac:dyDescent="0.25">
      <c r="A50" s="7">
        <v>49</v>
      </c>
      <c r="B50" s="9" t="s">
        <v>354</v>
      </c>
      <c r="C50" s="9" t="s">
        <v>198</v>
      </c>
      <c r="D50" s="9" t="s">
        <v>0</v>
      </c>
      <c r="E50" s="9" t="s">
        <v>130</v>
      </c>
      <c r="F50" s="9" t="s">
        <v>352</v>
      </c>
      <c r="G50" s="11">
        <v>7</v>
      </c>
    </row>
    <row r="51" spans="1:7" x14ac:dyDescent="0.25">
      <c r="A51" s="7">
        <v>50</v>
      </c>
      <c r="B51" s="9" t="s">
        <v>353</v>
      </c>
      <c r="C51" s="9" t="s">
        <v>199</v>
      </c>
      <c r="D51" s="9" t="s">
        <v>14</v>
      </c>
      <c r="E51" s="9" t="s">
        <v>132</v>
      </c>
      <c r="F51" s="9" t="s">
        <v>353</v>
      </c>
      <c r="G51" s="11">
        <v>17</v>
      </c>
    </row>
    <row r="52" spans="1:7" x14ac:dyDescent="0.25">
      <c r="A52" s="7">
        <v>51</v>
      </c>
      <c r="B52" s="9" t="s">
        <v>348</v>
      </c>
      <c r="C52" s="9" t="s">
        <v>201</v>
      </c>
      <c r="D52" s="9" t="s">
        <v>0</v>
      </c>
      <c r="E52" s="9" t="s">
        <v>129</v>
      </c>
      <c r="F52" s="9" t="s">
        <v>351</v>
      </c>
      <c r="G52" s="11">
        <v>2</v>
      </c>
    </row>
    <row r="53" spans="1:7" x14ac:dyDescent="0.25">
      <c r="A53" s="7">
        <v>52</v>
      </c>
      <c r="B53" s="9" t="s">
        <v>349</v>
      </c>
      <c r="C53" s="9" t="s">
        <v>202</v>
      </c>
      <c r="D53" s="9" t="s">
        <v>9</v>
      </c>
      <c r="E53" s="9" t="s">
        <v>129</v>
      </c>
      <c r="F53" s="9" t="s">
        <v>353</v>
      </c>
      <c r="G53" s="11">
        <v>29</v>
      </c>
    </row>
    <row r="54" spans="1:7" x14ac:dyDescent="0.25">
      <c r="A54" s="7">
        <v>53</v>
      </c>
      <c r="B54" s="9" t="s">
        <v>350</v>
      </c>
      <c r="C54" s="9" t="s">
        <v>203</v>
      </c>
      <c r="D54" s="9" t="s">
        <v>9</v>
      </c>
      <c r="E54" s="9" t="s">
        <v>132</v>
      </c>
      <c r="F54" s="9" t="s">
        <v>354</v>
      </c>
      <c r="G54" s="11">
        <v>21</v>
      </c>
    </row>
    <row r="55" spans="1:7" x14ac:dyDescent="0.25">
      <c r="A55" s="7">
        <v>54</v>
      </c>
      <c r="B55" s="9" t="s">
        <v>355</v>
      </c>
      <c r="C55" s="9" t="s">
        <v>205</v>
      </c>
      <c r="D55" s="9" t="s">
        <v>2</v>
      </c>
      <c r="E55" s="9" t="s">
        <v>127</v>
      </c>
      <c r="F55" s="9" t="s">
        <v>350</v>
      </c>
      <c r="G55" s="11">
        <v>14</v>
      </c>
    </row>
    <row r="56" spans="1:7" x14ac:dyDescent="0.25">
      <c r="A56" s="7">
        <v>55</v>
      </c>
      <c r="B56" s="9" t="s">
        <v>351</v>
      </c>
      <c r="C56" s="9" t="s">
        <v>206</v>
      </c>
      <c r="D56" s="9" t="s">
        <v>9</v>
      </c>
      <c r="E56" s="9" t="s">
        <v>133</v>
      </c>
      <c r="F56" s="9" t="s">
        <v>355</v>
      </c>
      <c r="G56" s="11">
        <v>20</v>
      </c>
    </row>
    <row r="57" spans="1:7" x14ac:dyDescent="0.25">
      <c r="A57" s="7">
        <v>56</v>
      </c>
      <c r="B57" s="9" t="s">
        <v>347</v>
      </c>
      <c r="C57" s="9" t="s">
        <v>208</v>
      </c>
      <c r="D57" s="9" t="s">
        <v>9</v>
      </c>
      <c r="F57" s="9" t="s">
        <v>347</v>
      </c>
      <c r="G57" s="11">
        <v>22</v>
      </c>
    </row>
    <row r="58" spans="1:7" x14ac:dyDescent="0.25">
      <c r="A58" s="7">
        <v>57</v>
      </c>
      <c r="B58" s="9" t="s">
        <v>352</v>
      </c>
      <c r="C58" s="9" t="s">
        <v>209</v>
      </c>
      <c r="D58" s="9" t="s">
        <v>0</v>
      </c>
      <c r="E58" s="9" t="s">
        <v>133</v>
      </c>
      <c r="F58" s="9" t="s">
        <v>351</v>
      </c>
      <c r="G58" s="11">
        <v>2</v>
      </c>
    </row>
    <row r="59" spans="1:7" x14ac:dyDescent="0.25">
      <c r="A59" s="7">
        <v>58</v>
      </c>
      <c r="B59" s="9" t="s">
        <v>354</v>
      </c>
      <c r="C59" s="9" t="s">
        <v>108</v>
      </c>
      <c r="D59" s="9" t="s">
        <v>14</v>
      </c>
      <c r="E59" s="9" t="s">
        <v>136</v>
      </c>
      <c r="F59" s="9" t="s">
        <v>354</v>
      </c>
      <c r="G59" s="11">
        <v>4</v>
      </c>
    </row>
    <row r="60" spans="1:7" x14ac:dyDescent="0.25">
      <c r="A60" s="7">
        <v>59</v>
      </c>
      <c r="B60" s="9" t="s">
        <v>353</v>
      </c>
      <c r="C60" s="9" t="s">
        <v>210</v>
      </c>
      <c r="D60" s="9" t="s">
        <v>14</v>
      </c>
      <c r="E60" s="9" t="s">
        <v>136</v>
      </c>
      <c r="F60" s="9" t="s">
        <v>351</v>
      </c>
      <c r="G60" s="11">
        <v>18</v>
      </c>
    </row>
    <row r="61" spans="1:7" x14ac:dyDescent="0.25">
      <c r="A61" s="7">
        <v>60</v>
      </c>
      <c r="B61" s="9" t="s">
        <v>348</v>
      </c>
      <c r="C61" s="9" t="s">
        <v>212</v>
      </c>
      <c r="D61" s="9" t="s">
        <v>191</v>
      </c>
      <c r="E61" s="9" t="s">
        <v>129</v>
      </c>
      <c r="F61" s="9" t="s">
        <v>352</v>
      </c>
      <c r="G61" s="11">
        <v>9</v>
      </c>
    </row>
    <row r="62" spans="1:7" x14ac:dyDescent="0.25">
      <c r="A62" s="7">
        <v>61</v>
      </c>
      <c r="B62" s="9" t="s">
        <v>349</v>
      </c>
      <c r="C62" s="9" t="s">
        <v>213</v>
      </c>
      <c r="D62" s="9" t="s">
        <v>9</v>
      </c>
      <c r="E62" s="9" t="s">
        <v>134</v>
      </c>
      <c r="F62" s="9" t="s">
        <v>353</v>
      </c>
      <c r="G62" s="11">
        <v>17</v>
      </c>
    </row>
    <row r="63" spans="1:7" x14ac:dyDescent="0.25">
      <c r="A63" s="7">
        <v>62</v>
      </c>
      <c r="B63" s="9" t="s">
        <v>350</v>
      </c>
      <c r="C63" s="9" t="s">
        <v>214</v>
      </c>
      <c r="D63" s="9" t="s">
        <v>9</v>
      </c>
      <c r="E63" s="9" t="s">
        <v>129</v>
      </c>
      <c r="F63" s="9" t="s">
        <v>354</v>
      </c>
      <c r="G63" s="11">
        <v>16</v>
      </c>
    </row>
    <row r="64" spans="1:7" x14ac:dyDescent="0.25">
      <c r="A64" s="7">
        <v>63</v>
      </c>
      <c r="B64" s="9" t="s">
        <v>355</v>
      </c>
      <c r="C64" s="9" t="s">
        <v>216</v>
      </c>
      <c r="D64" s="9" t="s">
        <v>0</v>
      </c>
      <c r="E64" s="9" t="s">
        <v>128</v>
      </c>
      <c r="F64" s="9" t="s">
        <v>355</v>
      </c>
      <c r="G64" s="11">
        <v>4</v>
      </c>
    </row>
    <row r="65" spans="1:7" x14ac:dyDescent="0.25">
      <c r="A65" s="7">
        <v>64</v>
      </c>
      <c r="B65" s="9" t="s">
        <v>351</v>
      </c>
      <c r="C65" s="9" t="s">
        <v>98</v>
      </c>
      <c r="D65" s="9" t="s">
        <v>5</v>
      </c>
      <c r="E65" s="9" t="s">
        <v>136</v>
      </c>
      <c r="F65" s="9" t="s">
        <v>350</v>
      </c>
      <c r="G65" s="11">
        <v>10</v>
      </c>
    </row>
    <row r="66" spans="1:7" x14ac:dyDescent="0.25">
      <c r="A66" s="7">
        <v>65</v>
      </c>
      <c r="B66" s="9" t="s">
        <v>347</v>
      </c>
      <c r="C66" s="9" t="s">
        <v>218</v>
      </c>
      <c r="D66" s="9" t="s">
        <v>14</v>
      </c>
      <c r="E66" s="9" t="s">
        <v>127</v>
      </c>
      <c r="F66" s="9" t="s">
        <v>351</v>
      </c>
      <c r="G66" s="11">
        <v>9</v>
      </c>
    </row>
    <row r="67" spans="1:7" x14ac:dyDescent="0.25">
      <c r="A67" s="7">
        <v>66</v>
      </c>
      <c r="B67" s="9" t="s">
        <v>352</v>
      </c>
      <c r="C67" s="9" t="s">
        <v>220</v>
      </c>
      <c r="D67" s="9" t="s">
        <v>0</v>
      </c>
      <c r="E67" s="9" t="s">
        <v>136</v>
      </c>
      <c r="F67" s="9" t="s">
        <v>352</v>
      </c>
      <c r="G67" s="11">
        <v>7</v>
      </c>
    </row>
    <row r="68" spans="1:7" x14ac:dyDescent="0.25">
      <c r="A68" s="7">
        <v>67</v>
      </c>
      <c r="B68" s="9" t="s">
        <v>354</v>
      </c>
      <c r="C68" s="9" t="s">
        <v>222</v>
      </c>
      <c r="D68" s="9" t="s">
        <v>14</v>
      </c>
      <c r="E68" s="9" t="s">
        <v>134</v>
      </c>
      <c r="F68" s="9" t="s">
        <v>347</v>
      </c>
      <c r="G68" s="11">
        <v>2</v>
      </c>
    </row>
    <row r="69" spans="1:7" x14ac:dyDescent="0.25">
      <c r="A69" s="7">
        <v>68</v>
      </c>
      <c r="B69" s="9" t="s">
        <v>353</v>
      </c>
      <c r="C69" s="9" t="s">
        <v>223</v>
      </c>
      <c r="D69" s="9" t="s">
        <v>14</v>
      </c>
      <c r="E69" s="9" t="s">
        <v>137</v>
      </c>
      <c r="F69" s="9" t="s">
        <v>348</v>
      </c>
      <c r="G69" s="11">
        <v>11</v>
      </c>
    </row>
    <row r="70" spans="1:7" x14ac:dyDescent="0.25">
      <c r="A70" s="7">
        <v>69</v>
      </c>
      <c r="B70" s="9" t="s">
        <v>348</v>
      </c>
      <c r="C70" s="9" t="s">
        <v>224</v>
      </c>
      <c r="D70" s="9" t="s">
        <v>0</v>
      </c>
      <c r="E70" s="9" t="s">
        <v>127</v>
      </c>
      <c r="F70" s="9" t="s">
        <v>348</v>
      </c>
      <c r="G70" s="11">
        <v>3</v>
      </c>
    </row>
    <row r="71" spans="1:7" x14ac:dyDescent="0.25">
      <c r="A71" s="7">
        <v>70</v>
      </c>
      <c r="B71" s="9" t="s">
        <v>349</v>
      </c>
      <c r="C71" s="9" t="s">
        <v>103</v>
      </c>
      <c r="D71" s="9" t="s">
        <v>9</v>
      </c>
      <c r="E71" s="9" t="s">
        <v>127</v>
      </c>
      <c r="F71" s="9" t="s">
        <v>354</v>
      </c>
      <c r="G71" s="11">
        <v>10</v>
      </c>
    </row>
    <row r="72" spans="1:7" x14ac:dyDescent="0.25">
      <c r="A72" s="7">
        <v>71</v>
      </c>
      <c r="B72" s="9" t="s">
        <v>350</v>
      </c>
      <c r="C72" s="9" t="s">
        <v>96</v>
      </c>
      <c r="D72" s="9" t="s">
        <v>9</v>
      </c>
      <c r="E72" s="9" t="s">
        <v>130</v>
      </c>
      <c r="F72" s="9" t="s">
        <v>351</v>
      </c>
      <c r="G72" s="11">
        <v>11</v>
      </c>
    </row>
    <row r="73" spans="1:7" x14ac:dyDescent="0.25">
      <c r="A73" s="7">
        <v>72</v>
      </c>
      <c r="B73" s="9" t="s">
        <v>355</v>
      </c>
      <c r="C73" s="9" t="s">
        <v>227</v>
      </c>
      <c r="D73" s="9" t="s">
        <v>2</v>
      </c>
      <c r="E73" s="9" t="s">
        <v>132</v>
      </c>
      <c r="F73" s="9" t="s">
        <v>351</v>
      </c>
      <c r="G73" s="11">
        <v>17</v>
      </c>
    </row>
    <row r="74" spans="1:7" x14ac:dyDescent="0.25">
      <c r="A74" s="7">
        <v>73</v>
      </c>
      <c r="B74" s="9" t="s">
        <v>351</v>
      </c>
      <c r="C74" s="9" t="s">
        <v>111</v>
      </c>
      <c r="D74" s="9" t="s">
        <v>5</v>
      </c>
      <c r="E74" s="9" t="s">
        <v>134</v>
      </c>
      <c r="F74" s="9" t="s">
        <v>351</v>
      </c>
      <c r="G74" s="11">
        <v>1</v>
      </c>
    </row>
    <row r="75" spans="1:7" x14ac:dyDescent="0.25">
      <c r="A75" s="7">
        <v>74</v>
      </c>
      <c r="B75" s="9" t="s">
        <v>347</v>
      </c>
      <c r="C75" s="9" t="s">
        <v>229</v>
      </c>
      <c r="D75" s="9" t="s">
        <v>14</v>
      </c>
      <c r="E75" s="9" t="s">
        <v>230</v>
      </c>
      <c r="F75" s="9" t="s">
        <v>352</v>
      </c>
      <c r="G75" s="11">
        <v>8</v>
      </c>
    </row>
    <row r="76" spans="1:7" x14ac:dyDescent="0.25">
      <c r="A76" s="7">
        <v>75</v>
      </c>
      <c r="B76" s="9" t="s">
        <v>352</v>
      </c>
      <c r="C76" s="9" t="s">
        <v>232</v>
      </c>
      <c r="D76" s="9" t="s">
        <v>14</v>
      </c>
      <c r="E76" s="9" t="s">
        <v>133</v>
      </c>
      <c r="F76" s="9" t="s">
        <v>352</v>
      </c>
      <c r="G76" s="11">
        <v>10</v>
      </c>
    </row>
    <row r="77" spans="1:7" x14ac:dyDescent="0.25">
      <c r="A77" s="7">
        <v>76</v>
      </c>
      <c r="B77" s="9" t="s">
        <v>354</v>
      </c>
      <c r="C77" s="9" t="s">
        <v>95</v>
      </c>
      <c r="D77" s="9" t="s">
        <v>234</v>
      </c>
      <c r="E77" s="9" t="s">
        <v>131</v>
      </c>
      <c r="F77" s="9" t="s">
        <v>354</v>
      </c>
      <c r="G77" s="11">
        <v>5</v>
      </c>
    </row>
    <row r="78" spans="1:7" x14ac:dyDescent="0.25">
      <c r="A78" s="7">
        <v>77</v>
      </c>
      <c r="B78" s="9" t="s">
        <v>353</v>
      </c>
      <c r="C78" s="9" t="s">
        <v>356</v>
      </c>
      <c r="D78" s="9" t="s">
        <v>14</v>
      </c>
      <c r="E78" s="9" t="s">
        <v>129</v>
      </c>
      <c r="F78" s="9" t="s">
        <v>352</v>
      </c>
      <c r="G78" s="11">
        <v>8</v>
      </c>
    </row>
    <row r="79" spans="1:7" x14ac:dyDescent="0.25">
      <c r="A79" s="7">
        <v>78</v>
      </c>
      <c r="B79" s="9" t="s">
        <v>348</v>
      </c>
      <c r="C79" s="9" t="s">
        <v>100</v>
      </c>
      <c r="D79" s="9" t="s">
        <v>9</v>
      </c>
      <c r="E79" s="9" t="s">
        <v>135</v>
      </c>
      <c r="F79" s="9" t="s">
        <v>348</v>
      </c>
      <c r="G79" s="11">
        <v>5</v>
      </c>
    </row>
    <row r="80" spans="1:7" x14ac:dyDescent="0.25">
      <c r="A80" s="7">
        <v>79</v>
      </c>
      <c r="B80" s="9" t="s">
        <v>349</v>
      </c>
      <c r="C80" s="9" t="s">
        <v>228</v>
      </c>
      <c r="D80" s="9" t="s">
        <v>9</v>
      </c>
      <c r="E80" s="9" t="s">
        <v>128</v>
      </c>
      <c r="F80" s="9" t="s">
        <v>352</v>
      </c>
      <c r="G80" s="11">
        <v>12</v>
      </c>
    </row>
    <row r="81" spans="1:7" x14ac:dyDescent="0.25">
      <c r="A81" s="7">
        <v>80</v>
      </c>
      <c r="B81" s="9" t="s">
        <v>350</v>
      </c>
      <c r="C81" s="9" t="s">
        <v>236</v>
      </c>
      <c r="D81" s="9" t="s">
        <v>9</v>
      </c>
      <c r="E81" s="9" t="s">
        <v>135</v>
      </c>
      <c r="F81" s="9" t="s">
        <v>349</v>
      </c>
      <c r="G81" s="11">
        <v>8</v>
      </c>
    </row>
    <row r="82" spans="1:7" x14ac:dyDescent="0.25">
      <c r="A82" s="7">
        <v>81</v>
      </c>
      <c r="B82" s="9" t="s">
        <v>355</v>
      </c>
      <c r="C82" s="9" t="s">
        <v>237</v>
      </c>
      <c r="D82" s="9" t="s">
        <v>238</v>
      </c>
      <c r="E82" s="9" t="s">
        <v>135</v>
      </c>
      <c r="F82" s="9" t="s">
        <v>349</v>
      </c>
      <c r="G82" s="11">
        <v>2</v>
      </c>
    </row>
    <row r="83" spans="1:7" x14ac:dyDescent="0.25">
      <c r="A83" s="7">
        <v>82</v>
      </c>
      <c r="B83" s="9" t="s">
        <v>351</v>
      </c>
      <c r="C83" s="9" t="s">
        <v>239</v>
      </c>
      <c r="D83" s="9" t="s">
        <v>4</v>
      </c>
      <c r="E83" s="9" t="s">
        <v>135</v>
      </c>
      <c r="F83" s="9" t="s">
        <v>351</v>
      </c>
      <c r="G83" s="11">
        <v>3</v>
      </c>
    </row>
    <row r="84" spans="1:7" x14ac:dyDescent="0.25">
      <c r="A84" s="7">
        <v>83</v>
      </c>
      <c r="B84" s="9" t="s">
        <v>347</v>
      </c>
      <c r="C84" s="9" t="s">
        <v>241</v>
      </c>
      <c r="D84" s="9" t="s">
        <v>14</v>
      </c>
      <c r="E84" s="9" t="s">
        <v>138</v>
      </c>
      <c r="F84" s="9" t="s">
        <v>354</v>
      </c>
      <c r="G84" s="11">
        <v>2</v>
      </c>
    </row>
    <row r="85" spans="1:7" x14ac:dyDescent="0.25">
      <c r="A85" s="7">
        <v>84</v>
      </c>
      <c r="B85" s="9" t="s">
        <v>352</v>
      </c>
      <c r="C85" s="9" t="s">
        <v>242</v>
      </c>
      <c r="D85" s="9" t="s">
        <v>14</v>
      </c>
      <c r="F85" s="9" t="s">
        <v>352</v>
      </c>
      <c r="G85" s="11">
        <v>3</v>
      </c>
    </row>
    <row r="86" spans="1:7" x14ac:dyDescent="0.25">
      <c r="A86" s="7">
        <v>85</v>
      </c>
      <c r="B86" s="9" t="s">
        <v>354</v>
      </c>
      <c r="C86" s="9" t="s">
        <v>243</v>
      </c>
      <c r="D86" s="9" t="s">
        <v>14</v>
      </c>
      <c r="E86" s="9" t="s">
        <v>131</v>
      </c>
      <c r="F86" s="9" t="s">
        <v>349</v>
      </c>
      <c r="G86" s="11">
        <v>4</v>
      </c>
    </row>
    <row r="87" spans="1:7" x14ac:dyDescent="0.25">
      <c r="A87" s="7">
        <v>86</v>
      </c>
      <c r="B87" s="9" t="s">
        <v>353</v>
      </c>
      <c r="C87" s="9" t="s">
        <v>245</v>
      </c>
      <c r="D87" s="9" t="s">
        <v>14</v>
      </c>
      <c r="E87" s="9" t="s">
        <v>127</v>
      </c>
      <c r="F87" s="9" t="s">
        <v>355</v>
      </c>
      <c r="G87" s="11">
        <v>2</v>
      </c>
    </row>
    <row r="88" spans="1:7" x14ac:dyDescent="0.25">
      <c r="A88" s="7">
        <v>87</v>
      </c>
      <c r="B88" s="9" t="s">
        <v>348</v>
      </c>
      <c r="C88" s="9" t="s">
        <v>246</v>
      </c>
      <c r="D88" s="9" t="s">
        <v>14</v>
      </c>
      <c r="F88" s="9" t="s">
        <v>350</v>
      </c>
      <c r="G88" s="11">
        <v>5</v>
      </c>
    </row>
    <row r="89" spans="1:7" x14ac:dyDescent="0.25">
      <c r="A89" s="7">
        <v>88</v>
      </c>
      <c r="B89" s="9" t="s">
        <v>349</v>
      </c>
      <c r="C89" s="9" t="s">
        <v>247</v>
      </c>
      <c r="D89" s="9" t="s">
        <v>14</v>
      </c>
      <c r="E89" s="9" t="s">
        <v>138</v>
      </c>
      <c r="F89" s="9" t="s">
        <v>351</v>
      </c>
      <c r="G89" s="11">
        <v>4</v>
      </c>
    </row>
    <row r="90" spans="1:7" x14ac:dyDescent="0.25">
      <c r="A90" s="7">
        <v>89</v>
      </c>
      <c r="B90" s="9" t="s">
        <v>350</v>
      </c>
      <c r="C90" s="9" t="s">
        <v>248</v>
      </c>
      <c r="D90" s="9" t="s">
        <v>14</v>
      </c>
      <c r="F90" s="9" t="s">
        <v>350</v>
      </c>
      <c r="G90" s="11">
        <v>3</v>
      </c>
    </row>
    <row r="91" spans="1:7" x14ac:dyDescent="0.25">
      <c r="A91" s="7">
        <v>90</v>
      </c>
      <c r="B91" s="9" t="s">
        <v>355</v>
      </c>
      <c r="C91" s="9" t="s">
        <v>249</v>
      </c>
      <c r="D91" s="9" t="s">
        <v>234</v>
      </c>
      <c r="F91" s="9" t="s">
        <v>354</v>
      </c>
      <c r="G91" s="11">
        <v>2</v>
      </c>
    </row>
    <row r="92" spans="1:7" x14ac:dyDescent="0.25">
      <c r="A92" s="7">
        <v>91</v>
      </c>
      <c r="B92" s="9" t="s">
        <v>351</v>
      </c>
      <c r="C92" s="9" t="s">
        <v>250</v>
      </c>
      <c r="D92" s="9" t="s">
        <v>4</v>
      </c>
      <c r="F92" s="9" t="s">
        <v>351</v>
      </c>
      <c r="G92" s="11">
        <v>1</v>
      </c>
    </row>
    <row r="93" spans="1:7" x14ac:dyDescent="0.25">
      <c r="A93" s="7">
        <v>92</v>
      </c>
      <c r="B93" s="9" t="s">
        <v>347</v>
      </c>
      <c r="C93" s="9" t="s">
        <v>251</v>
      </c>
      <c r="D93" s="9" t="s">
        <v>14</v>
      </c>
      <c r="F93" s="9" t="s">
        <v>347</v>
      </c>
      <c r="G93" s="11">
        <v>1</v>
      </c>
    </row>
    <row r="94" spans="1:7" x14ac:dyDescent="0.25">
      <c r="A94" s="7">
        <v>93</v>
      </c>
      <c r="B94" s="9" t="s">
        <v>354</v>
      </c>
      <c r="C94" s="9" t="s">
        <v>252</v>
      </c>
      <c r="D94" s="9" t="s">
        <v>14</v>
      </c>
      <c r="E94" s="9" t="s">
        <v>131</v>
      </c>
      <c r="F94" s="9" t="s">
        <v>347</v>
      </c>
      <c r="G94" s="11">
        <v>2</v>
      </c>
    </row>
    <row r="95" spans="1:7" x14ac:dyDescent="0.25">
      <c r="A95" s="7">
        <v>94</v>
      </c>
      <c r="B95" s="9" t="s">
        <v>353</v>
      </c>
      <c r="C95" s="9" t="s">
        <v>115</v>
      </c>
      <c r="D95" s="9" t="s">
        <v>14</v>
      </c>
      <c r="F95" s="9" t="s">
        <v>348</v>
      </c>
      <c r="G95" s="11">
        <v>4</v>
      </c>
    </row>
    <row r="96" spans="1:7" x14ac:dyDescent="0.25">
      <c r="A96" s="7">
        <v>95</v>
      </c>
      <c r="B96" s="9" t="s">
        <v>348</v>
      </c>
      <c r="C96" s="9" t="s">
        <v>253</v>
      </c>
      <c r="F96" s="9" t="s">
        <v>348</v>
      </c>
      <c r="G96" s="11">
        <v>1</v>
      </c>
    </row>
    <row r="97" spans="1:7" x14ac:dyDescent="0.25">
      <c r="A97" s="7">
        <v>96</v>
      </c>
      <c r="B97" s="9" t="s">
        <v>349</v>
      </c>
      <c r="C97" s="9" t="s">
        <v>255</v>
      </c>
      <c r="F97" s="9" t="s">
        <v>350</v>
      </c>
      <c r="G97" s="11">
        <v>2</v>
      </c>
    </row>
    <row r="98" spans="1:7" x14ac:dyDescent="0.25">
      <c r="A98" s="7">
        <v>97</v>
      </c>
      <c r="B98" s="9" t="s">
        <v>350</v>
      </c>
      <c r="C98" s="9" t="s">
        <v>256</v>
      </c>
      <c r="F98" s="9" t="s">
        <v>347</v>
      </c>
      <c r="G98" s="11">
        <v>4</v>
      </c>
    </row>
    <row r="99" spans="1:7" x14ac:dyDescent="0.25">
      <c r="A99" s="7">
        <v>98</v>
      </c>
      <c r="B99" s="9" t="s">
        <v>355</v>
      </c>
      <c r="C99" s="9" t="s">
        <v>257</v>
      </c>
      <c r="F99" s="9" t="s">
        <v>355</v>
      </c>
      <c r="G99" s="11">
        <v>2</v>
      </c>
    </row>
    <row r="100" spans="1:7" x14ac:dyDescent="0.25">
      <c r="A100" s="7">
        <v>99</v>
      </c>
      <c r="B100" s="9" t="s">
        <v>351</v>
      </c>
      <c r="C100" s="9" t="s">
        <v>258</v>
      </c>
      <c r="F100" s="9" t="s">
        <v>353</v>
      </c>
      <c r="G100" s="11">
        <v>2</v>
      </c>
    </row>
    <row r="101" spans="1:7" x14ac:dyDescent="0.25">
      <c r="A101" s="7">
        <v>100</v>
      </c>
      <c r="B101" s="9" t="s">
        <v>347</v>
      </c>
      <c r="C101" s="9" t="s">
        <v>259</v>
      </c>
      <c r="F101" s="9" t="s">
        <v>347</v>
      </c>
      <c r="G101" s="11">
        <v>1</v>
      </c>
    </row>
    <row r="102" spans="1:7" x14ac:dyDescent="0.25">
      <c r="A102" s="7">
        <v>101</v>
      </c>
      <c r="B102" s="9" t="s">
        <v>354</v>
      </c>
      <c r="C102" s="9" t="s">
        <v>260</v>
      </c>
      <c r="F102" s="9" t="s">
        <v>350</v>
      </c>
      <c r="G102" s="11">
        <v>2</v>
      </c>
    </row>
    <row r="103" spans="1:7" x14ac:dyDescent="0.25">
      <c r="A103" s="7">
        <v>102</v>
      </c>
      <c r="B103" s="9" t="s">
        <v>353</v>
      </c>
      <c r="C103" s="9" t="s">
        <v>261</v>
      </c>
      <c r="F103" s="9" t="s">
        <v>353</v>
      </c>
      <c r="G103" s="11">
        <v>1</v>
      </c>
    </row>
    <row r="104" spans="1:7" x14ac:dyDescent="0.25">
      <c r="A104" s="7">
        <v>103</v>
      </c>
      <c r="B104" s="9" t="s">
        <v>348</v>
      </c>
      <c r="C104" s="9" t="s">
        <v>262</v>
      </c>
      <c r="F104" s="9" t="s">
        <v>348</v>
      </c>
      <c r="G104" s="11">
        <v>3</v>
      </c>
    </row>
    <row r="105" spans="1:7" x14ac:dyDescent="0.25">
      <c r="A105" s="7">
        <v>104</v>
      </c>
      <c r="B105" s="9" t="s">
        <v>349</v>
      </c>
      <c r="C105" s="9" t="s">
        <v>263</v>
      </c>
      <c r="F105" s="9" t="s">
        <v>349</v>
      </c>
      <c r="G105" s="11">
        <v>2</v>
      </c>
    </row>
    <row r="106" spans="1:7" x14ac:dyDescent="0.25">
      <c r="A106" s="7">
        <v>105</v>
      </c>
      <c r="B106" s="9" t="s">
        <v>350</v>
      </c>
      <c r="C106" s="9" t="s">
        <v>265</v>
      </c>
      <c r="F106" s="9" t="s">
        <v>350</v>
      </c>
      <c r="G106" s="11">
        <v>3</v>
      </c>
    </row>
    <row r="107" spans="1:7" x14ac:dyDescent="0.25">
      <c r="A107" s="7">
        <v>106</v>
      </c>
      <c r="B107" s="9" t="s">
        <v>355</v>
      </c>
      <c r="C107" s="9" t="s">
        <v>266</v>
      </c>
      <c r="D107" s="9" t="s">
        <v>2</v>
      </c>
      <c r="E107" s="9" t="s">
        <v>135</v>
      </c>
      <c r="F107" s="9" t="s">
        <v>355</v>
      </c>
      <c r="G107" s="11">
        <v>1</v>
      </c>
    </row>
    <row r="108" spans="1:7" x14ac:dyDescent="0.25">
      <c r="A108" s="7">
        <v>107</v>
      </c>
      <c r="B108" s="9" t="s">
        <v>351</v>
      </c>
      <c r="C108" s="9" t="s">
        <v>267</v>
      </c>
      <c r="F108" s="9" t="s">
        <v>354</v>
      </c>
      <c r="G108" s="11">
        <v>2</v>
      </c>
    </row>
    <row r="109" spans="1:7" x14ac:dyDescent="0.25">
      <c r="A109" s="7">
        <v>108</v>
      </c>
      <c r="B109" s="9" t="s">
        <v>347</v>
      </c>
      <c r="C109" s="9" t="s">
        <v>268</v>
      </c>
      <c r="F109" s="9" t="s">
        <v>348</v>
      </c>
      <c r="G109" s="11">
        <v>2</v>
      </c>
    </row>
    <row r="110" spans="1:7" x14ac:dyDescent="0.25">
      <c r="A110" s="7">
        <v>109</v>
      </c>
      <c r="B110" s="9" t="s">
        <v>354</v>
      </c>
      <c r="C110" s="9" t="s">
        <v>269</v>
      </c>
      <c r="F110" s="9" t="s">
        <v>354</v>
      </c>
      <c r="G110" s="11">
        <v>1</v>
      </c>
    </row>
    <row r="111" spans="1:7" x14ac:dyDescent="0.25">
      <c r="A111" s="7">
        <v>110</v>
      </c>
      <c r="B111" s="9" t="s">
        <v>353</v>
      </c>
      <c r="C111" s="9" t="s">
        <v>270</v>
      </c>
      <c r="F111" s="9" t="s">
        <v>353</v>
      </c>
      <c r="G111" s="11">
        <v>1</v>
      </c>
    </row>
    <row r="112" spans="1:7" x14ac:dyDescent="0.25">
      <c r="A112" s="7">
        <v>111</v>
      </c>
      <c r="B112" s="9" t="s">
        <v>348</v>
      </c>
      <c r="C112" s="9" t="s">
        <v>271</v>
      </c>
      <c r="F112" s="9" t="s">
        <v>348</v>
      </c>
      <c r="G112" s="11">
        <v>3</v>
      </c>
    </row>
    <row r="113" spans="1:7" x14ac:dyDescent="0.25">
      <c r="A113" s="7">
        <v>112</v>
      </c>
      <c r="B113" s="9" t="s">
        <v>349</v>
      </c>
      <c r="C113" s="9" t="s">
        <v>272</v>
      </c>
      <c r="F113" s="9" t="s">
        <v>349</v>
      </c>
      <c r="G113" s="11">
        <v>1</v>
      </c>
    </row>
    <row r="114" spans="1:7" x14ac:dyDescent="0.25">
      <c r="A114" s="7">
        <v>113</v>
      </c>
      <c r="B114" s="9" t="s">
        <v>350</v>
      </c>
      <c r="C114" s="9" t="s">
        <v>122</v>
      </c>
      <c r="D114" s="9" t="s">
        <v>9</v>
      </c>
      <c r="E114" s="9" t="s">
        <v>127</v>
      </c>
      <c r="F114" s="9" t="s">
        <v>354</v>
      </c>
      <c r="G114" s="11">
        <v>2</v>
      </c>
    </row>
    <row r="115" spans="1:7" x14ac:dyDescent="0.25">
      <c r="A115" s="7">
        <v>114</v>
      </c>
      <c r="B115" s="9" t="s">
        <v>355</v>
      </c>
      <c r="C115" s="9" t="s">
        <v>273</v>
      </c>
      <c r="F115" s="9" t="s">
        <v>355</v>
      </c>
      <c r="G115" s="11">
        <v>3</v>
      </c>
    </row>
    <row r="116" spans="1:7" x14ac:dyDescent="0.25">
      <c r="A116" s="7">
        <v>115</v>
      </c>
      <c r="B116" s="9" t="s">
        <v>351</v>
      </c>
      <c r="C116" s="9" t="s">
        <v>274</v>
      </c>
      <c r="D116" s="9" t="s">
        <v>14</v>
      </c>
      <c r="E116" s="9" t="s">
        <v>230</v>
      </c>
      <c r="F116" s="9" t="s">
        <v>351</v>
      </c>
      <c r="G116" s="11">
        <v>1</v>
      </c>
    </row>
    <row r="117" spans="1:7" x14ac:dyDescent="0.25">
      <c r="A117" s="7">
        <v>116</v>
      </c>
      <c r="B117" s="9" t="s">
        <v>347</v>
      </c>
      <c r="C117" s="9" t="s">
        <v>275</v>
      </c>
      <c r="D117" s="9" t="s">
        <v>9</v>
      </c>
      <c r="E117" s="9" t="s">
        <v>131</v>
      </c>
      <c r="F117" s="9" t="s">
        <v>347</v>
      </c>
      <c r="G117" s="11">
        <v>1</v>
      </c>
    </row>
    <row r="118" spans="1:7" x14ac:dyDescent="0.25">
      <c r="A118" s="7">
        <v>117</v>
      </c>
      <c r="B118" s="9" t="s">
        <v>354</v>
      </c>
      <c r="C118" s="9" t="s">
        <v>279</v>
      </c>
      <c r="F118" s="9" t="s">
        <v>354</v>
      </c>
      <c r="G118" s="11">
        <v>1</v>
      </c>
    </row>
    <row r="119" spans="1:7" x14ac:dyDescent="0.25">
      <c r="A119" s="7">
        <v>118</v>
      </c>
      <c r="B119" s="9" t="s">
        <v>353</v>
      </c>
      <c r="C119" s="9" t="s">
        <v>276</v>
      </c>
      <c r="F119" s="9" t="s">
        <v>353</v>
      </c>
      <c r="G119" s="11">
        <v>1</v>
      </c>
    </row>
    <row r="120" spans="1:7" x14ac:dyDescent="0.25">
      <c r="A120" s="7">
        <v>119</v>
      </c>
      <c r="B120" s="9" t="s">
        <v>349</v>
      </c>
      <c r="C120" s="9" t="s">
        <v>277</v>
      </c>
      <c r="F120" s="9" t="s">
        <v>355</v>
      </c>
      <c r="G120" s="11">
        <v>4</v>
      </c>
    </row>
    <row r="121" spans="1:7" x14ac:dyDescent="0.25">
      <c r="A121" s="7">
        <v>120</v>
      </c>
      <c r="B121" s="9" t="s">
        <v>350</v>
      </c>
      <c r="C121" s="9" t="s">
        <v>124</v>
      </c>
      <c r="F121" s="9" t="s">
        <v>350</v>
      </c>
      <c r="G121" s="11">
        <v>1</v>
      </c>
    </row>
    <row r="122" spans="1:7" x14ac:dyDescent="0.25">
      <c r="A122" s="7">
        <v>121</v>
      </c>
      <c r="B122" s="9" t="s">
        <v>355</v>
      </c>
      <c r="C122" s="9" t="s">
        <v>280</v>
      </c>
      <c r="F122" s="9" t="s">
        <v>355</v>
      </c>
      <c r="G122" s="11">
        <v>3</v>
      </c>
    </row>
    <row r="123" spans="1:7" x14ac:dyDescent="0.25">
      <c r="A123" s="7">
        <v>122</v>
      </c>
      <c r="B123" s="9" t="s">
        <v>351</v>
      </c>
      <c r="C123" s="9" t="s">
        <v>281</v>
      </c>
      <c r="F123" s="9" t="s">
        <v>351</v>
      </c>
      <c r="G123" s="12">
        <v>1</v>
      </c>
    </row>
    <row r="124" spans="1:7" x14ac:dyDescent="0.25">
      <c r="A124" s="7">
        <v>123</v>
      </c>
      <c r="B124" s="9" t="s">
        <v>354</v>
      </c>
      <c r="C124" s="9" t="s">
        <v>283</v>
      </c>
      <c r="F124" s="9" t="s">
        <v>354</v>
      </c>
      <c r="G124" s="11">
        <v>1</v>
      </c>
    </row>
    <row r="125" spans="1:7" x14ac:dyDescent="0.25">
      <c r="A125" s="7">
        <v>124</v>
      </c>
      <c r="B125" s="9" t="s">
        <v>353</v>
      </c>
      <c r="C125" s="9" t="s">
        <v>282</v>
      </c>
      <c r="F125" s="9" t="s">
        <v>353</v>
      </c>
      <c r="G125" s="11">
        <v>1</v>
      </c>
    </row>
    <row r="126" spans="1:7" x14ac:dyDescent="0.25">
      <c r="A126" s="7">
        <v>125</v>
      </c>
      <c r="B126" s="9" t="s">
        <v>349</v>
      </c>
      <c r="C126" s="9" t="s">
        <v>106</v>
      </c>
      <c r="F126" s="9" t="s">
        <v>349</v>
      </c>
      <c r="G126" s="11">
        <v>1</v>
      </c>
    </row>
    <row r="127" spans="1:7" x14ac:dyDescent="0.25">
      <c r="A127" s="7">
        <v>126</v>
      </c>
      <c r="B127" s="9" t="s">
        <v>350</v>
      </c>
      <c r="C127" s="9" t="s">
        <v>284</v>
      </c>
      <c r="F127" s="9" t="s">
        <v>354</v>
      </c>
      <c r="G127" s="11">
        <v>3</v>
      </c>
    </row>
    <row r="128" spans="1:7" x14ac:dyDescent="0.25">
      <c r="A128" s="7">
        <v>127</v>
      </c>
      <c r="B128" s="9" t="s">
        <v>355</v>
      </c>
      <c r="C128" s="9" t="s">
        <v>285</v>
      </c>
      <c r="F128" s="9" t="s">
        <v>355</v>
      </c>
      <c r="G128" s="11">
        <v>1</v>
      </c>
    </row>
    <row r="129" spans="1:7" x14ac:dyDescent="0.25">
      <c r="A129" s="7">
        <v>128</v>
      </c>
      <c r="B129" s="9" t="s">
        <v>351</v>
      </c>
      <c r="C129" s="9" t="s">
        <v>123</v>
      </c>
      <c r="F129" s="9" t="s">
        <v>353</v>
      </c>
      <c r="G129" s="11">
        <v>3</v>
      </c>
    </row>
    <row r="130" spans="1:7" x14ac:dyDescent="0.25">
      <c r="A130" s="7">
        <v>129</v>
      </c>
      <c r="B130" s="9" t="s">
        <v>353</v>
      </c>
      <c r="C130" s="9" t="s">
        <v>286</v>
      </c>
      <c r="F130" s="9" t="s">
        <v>353</v>
      </c>
      <c r="G130" s="11">
        <v>1</v>
      </c>
    </row>
    <row r="131" spans="1:7" x14ac:dyDescent="0.25">
      <c r="A131" s="7">
        <v>130</v>
      </c>
      <c r="B131" s="9" t="s">
        <v>349</v>
      </c>
      <c r="C131" s="9" t="s">
        <v>287</v>
      </c>
      <c r="F131" s="9" t="s">
        <v>349</v>
      </c>
      <c r="G131" s="11">
        <v>1</v>
      </c>
    </row>
    <row r="132" spans="1:7" x14ac:dyDescent="0.25">
      <c r="A132" s="7">
        <v>131</v>
      </c>
      <c r="B132" s="9" t="s">
        <v>350</v>
      </c>
      <c r="C132" s="9" t="s">
        <v>288</v>
      </c>
      <c r="F132" s="9" t="s">
        <v>350</v>
      </c>
      <c r="G132" s="11">
        <v>1</v>
      </c>
    </row>
    <row r="133" spans="1:7" x14ac:dyDescent="0.25">
      <c r="A133" s="7">
        <v>132</v>
      </c>
      <c r="B133" s="9" t="s">
        <v>351</v>
      </c>
      <c r="C133" s="9" t="s">
        <v>289</v>
      </c>
      <c r="F133" s="9" t="s">
        <v>351</v>
      </c>
      <c r="G133" s="11">
        <v>1</v>
      </c>
    </row>
    <row r="134" spans="1:7" x14ac:dyDescent="0.25">
      <c r="A134" s="7">
        <v>133</v>
      </c>
      <c r="B134" s="9" t="s">
        <v>353</v>
      </c>
      <c r="C134" s="9" t="s">
        <v>290</v>
      </c>
      <c r="F134" s="9" t="s">
        <v>353</v>
      </c>
      <c r="G134" s="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71"/>
  <sheetViews>
    <sheetView zoomScale="80" zoomScaleNormal="80" workbookViewId="0">
      <selection sqref="A1:D1"/>
    </sheetView>
  </sheetViews>
  <sheetFormatPr defaultColWidth="8.88671875" defaultRowHeight="17.25" customHeight="1" x14ac:dyDescent="0.25"/>
  <cols>
    <col min="1" max="1" width="3.6640625" style="21" bestFit="1" customWidth="1"/>
    <col min="2" max="2" width="23.77734375" style="2" customWidth="1"/>
    <col min="3" max="3" width="3.44140625" style="2" bestFit="1" customWidth="1"/>
    <col min="4" max="4" width="5.109375" style="2" customWidth="1"/>
    <col min="5" max="5" width="3.6640625" style="21" customWidth="1"/>
    <col min="6" max="6" width="23.77734375" style="2" customWidth="1"/>
    <col min="7" max="7" width="3.44140625" style="21" bestFit="1" customWidth="1"/>
    <col min="8" max="8" width="5.33203125" style="2" customWidth="1"/>
    <col min="9" max="9" width="3.6640625" style="21" customWidth="1"/>
    <col min="10" max="10" width="23.77734375" style="2" customWidth="1"/>
    <col min="11" max="11" width="2.88671875" style="21" customWidth="1"/>
    <col min="12" max="12" width="5" style="2" customWidth="1"/>
    <col min="13" max="13" width="3.6640625" style="21" customWidth="1"/>
    <col min="14" max="14" width="23.77734375" style="2" customWidth="1"/>
    <col min="15" max="15" width="3.44140625" style="2" bestFit="1" customWidth="1"/>
    <col min="16" max="16" width="5.33203125" style="2" customWidth="1"/>
    <col min="17" max="17" width="3.6640625" style="21" customWidth="1"/>
    <col min="18" max="18" width="23.77734375" style="2" customWidth="1"/>
    <col min="19" max="19" width="3.44140625" style="2" bestFit="1" customWidth="1"/>
    <col min="20" max="20" width="5" style="2" customWidth="1"/>
    <col min="21" max="16384" width="8.88671875" style="2"/>
  </cols>
  <sheetData>
    <row r="1" spans="1:20" ht="21" customHeight="1" thickBot="1" x14ac:dyDescent="0.35">
      <c r="A1" s="45" t="str">
        <f>"Team A $"&amp;260-SUM(D2:D24)</f>
        <v>Team A $0</v>
      </c>
      <c r="B1" s="48"/>
      <c r="C1" s="48"/>
      <c r="D1" s="49"/>
      <c r="E1" s="45" t="str">
        <f>"Team B $"&amp;260-SUM(H2:H24)</f>
        <v>Team B $10</v>
      </c>
      <c r="F1" s="48"/>
      <c r="G1" s="48"/>
      <c r="H1" s="49"/>
      <c r="I1" s="45" t="str">
        <f>"Team C $"&amp;260-SUM(L2:L24)</f>
        <v>Team C $1</v>
      </c>
      <c r="J1" s="48"/>
      <c r="K1" s="48"/>
      <c r="L1" s="49"/>
      <c r="M1" s="45" t="str">
        <f>"Team D $"&amp;260-SUM(P2:P24)</f>
        <v>Team D $0</v>
      </c>
      <c r="N1" s="48"/>
      <c r="O1" s="48"/>
      <c r="P1" s="49"/>
      <c r="Q1" s="45" t="str">
        <f>"Team E $"&amp;260-SUM(T2:T24)</f>
        <v>Team E $2</v>
      </c>
      <c r="R1" s="48"/>
      <c r="S1" s="48"/>
      <c r="T1" s="49"/>
    </row>
    <row r="2" spans="1:20" ht="17.25" customHeight="1" x14ac:dyDescent="0.25">
      <c r="A2" s="13" t="s">
        <v>0</v>
      </c>
      <c r="B2" s="5" t="s">
        <v>58</v>
      </c>
      <c r="C2" s="14" t="s">
        <v>3</v>
      </c>
      <c r="D2" s="15">
        <v>5</v>
      </c>
      <c r="E2" s="16" t="s">
        <v>0</v>
      </c>
      <c r="F2" s="5" t="s">
        <v>18</v>
      </c>
      <c r="G2" s="14" t="s">
        <v>1</v>
      </c>
      <c r="H2" s="15">
        <v>10</v>
      </c>
      <c r="I2" s="16" t="s">
        <v>0</v>
      </c>
      <c r="J2" s="5" t="s">
        <v>83</v>
      </c>
      <c r="K2" s="14" t="s">
        <v>1</v>
      </c>
      <c r="L2" s="15">
        <v>1</v>
      </c>
      <c r="M2" s="16" t="s">
        <v>0</v>
      </c>
      <c r="N2" s="32" t="s">
        <v>143</v>
      </c>
      <c r="O2" s="14" t="s">
        <v>142</v>
      </c>
      <c r="P2" s="15">
        <v>25</v>
      </c>
      <c r="Q2" s="16" t="s">
        <v>0</v>
      </c>
      <c r="R2" s="5" t="s">
        <v>201</v>
      </c>
      <c r="S2" s="14" t="s">
        <v>142</v>
      </c>
      <c r="T2" s="15">
        <v>2</v>
      </c>
    </row>
    <row r="3" spans="1:20" ht="17.25" customHeight="1" thickBot="1" x14ac:dyDescent="0.3">
      <c r="A3" s="17" t="s">
        <v>0</v>
      </c>
      <c r="B3" s="3" t="s">
        <v>259</v>
      </c>
      <c r="C3" s="18" t="s">
        <v>142</v>
      </c>
      <c r="D3" s="19">
        <v>1</v>
      </c>
      <c r="E3" s="20" t="s">
        <v>0</v>
      </c>
      <c r="F3" s="3" t="s">
        <v>224</v>
      </c>
      <c r="G3" s="18" t="s">
        <v>142</v>
      </c>
      <c r="H3" s="19">
        <v>3</v>
      </c>
      <c r="I3" s="20" t="s">
        <v>0</v>
      </c>
      <c r="J3" s="3" t="s">
        <v>84</v>
      </c>
      <c r="K3" s="18" t="s">
        <v>1</v>
      </c>
      <c r="L3" s="19">
        <v>10</v>
      </c>
      <c r="M3" s="20" t="s">
        <v>0</v>
      </c>
      <c r="N3" s="3" t="s">
        <v>164</v>
      </c>
      <c r="O3" s="18" t="s">
        <v>142</v>
      </c>
      <c r="P3" s="19">
        <v>18</v>
      </c>
      <c r="Q3" s="20" t="s">
        <v>0</v>
      </c>
      <c r="R3" s="4" t="s">
        <v>209</v>
      </c>
      <c r="S3" s="21" t="s">
        <v>142</v>
      </c>
      <c r="T3" s="19">
        <v>2</v>
      </c>
    </row>
    <row r="4" spans="1:20" ht="17.25" customHeight="1" x14ac:dyDescent="0.25">
      <c r="A4" s="13" t="s">
        <v>2</v>
      </c>
      <c r="B4" s="2" t="s">
        <v>162</v>
      </c>
      <c r="C4" s="21" t="s">
        <v>142</v>
      </c>
      <c r="D4" s="15">
        <v>35</v>
      </c>
      <c r="E4" s="22" t="s">
        <v>2</v>
      </c>
      <c r="F4" s="2" t="s">
        <v>76</v>
      </c>
      <c r="G4" s="21" t="s">
        <v>1</v>
      </c>
      <c r="H4" s="15">
        <v>3</v>
      </c>
      <c r="I4" s="22" t="s">
        <v>2</v>
      </c>
      <c r="J4" s="32" t="s">
        <v>148</v>
      </c>
      <c r="K4" s="21" t="s">
        <v>142</v>
      </c>
      <c r="L4" s="15">
        <v>36</v>
      </c>
      <c r="M4" s="16" t="s">
        <v>2</v>
      </c>
      <c r="N4" s="2" t="s">
        <v>205</v>
      </c>
      <c r="O4" s="14" t="s">
        <v>142</v>
      </c>
      <c r="P4" s="23">
        <v>14</v>
      </c>
      <c r="Q4" s="16" t="s">
        <v>2</v>
      </c>
      <c r="R4" s="5" t="s">
        <v>227</v>
      </c>
      <c r="S4" s="14" t="s">
        <v>142</v>
      </c>
      <c r="T4" s="15">
        <v>17</v>
      </c>
    </row>
    <row r="5" spans="1:20" ht="17.25" customHeight="1" x14ac:dyDescent="0.25">
      <c r="A5" s="24" t="s">
        <v>4</v>
      </c>
      <c r="B5" s="4" t="s">
        <v>160</v>
      </c>
      <c r="C5" s="21" t="s">
        <v>142</v>
      </c>
      <c r="D5" s="23">
        <v>20</v>
      </c>
      <c r="E5" s="25" t="s">
        <v>4</v>
      </c>
      <c r="F5" s="4" t="s">
        <v>78</v>
      </c>
      <c r="G5" s="21" t="s">
        <v>3</v>
      </c>
      <c r="H5" s="23">
        <v>5</v>
      </c>
      <c r="I5" s="25" t="s">
        <v>4</v>
      </c>
      <c r="J5" s="4" t="s">
        <v>237</v>
      </c>
      <c r="K5" s="21" t="s">
        <v>142</v>
      </c>
      <c r="L5" s="23">
        <v>2</v>
      </c>
      <c r="M5" s="26" t="s">
        <v>4</v>
      </c>
      <c r="N5" s="4" t="s">
        <v>50</v>
      </c>
      <c r="O5" s="21" t="s">
        <v>1</v>
      </c>
      <c r="P5" s="23">
        <v>9</v>
      </c>
      <c r="Q5" s="26" t="s">
        <v>4</v>
      </c>
      <c r="R5" s="4" t="s">
        <v>240</v>
      </c>
      <c r="S5" s="21" t="s">
        <v>142</v>
      </c>
      <c r="T5" s="23">
        <v>3</v>
      </c>
    </row>
    <row r="6" spans="1:20" ht="17.25" customHeight="1" thickBot="1" x14ac:dyDescent="0.3">
      <c r="A6" s="17" t="s">
        <v>6</v>
      </c>
      <c r="B6" s="3" t="s">
        <v>197</v>
      </c>
      <c r="C6" s="18" t="s">
        <v>142</v>
      </c>
      <c r="D6" s="19">
        <v>5</v>
      </c>
      <c r="E6" s="27" t="s">
        <v>6</v>
      </c>
      <c r="F6" s="32" t="s">
        <v>97</v>
      </c>
      <c r="G6" s="18" t="s">
        <v>142</v>
      </c>
      <c r="H6" s="19">
        <v>26</v>
      </c>
      <c r="I6" s="27" t="s">
        <v>6</v>
      </c>
      <c r="J6" s="3" t="s">
        <v>272</v>
      </c>
      <c r="K6" s="18" t="s">
        <v>142</v>
      </c>
      <c r="L6" s="19">
        <v>1</v>
      </c>
      <c r="M6" s="20" t="s">
        <v>6</v>
      </c>
      <c r="N6" s="3" t="s">
        <v>255</v>
      </c>
      <c r="O6" s="18" t="s">
        <v>142</v>
      </c>
      <c r="P6" s="19">
        <v>2</v>
      </c>
      <c r="Q6" s="20" t="s">
        <v>6</v>
      </c>
      <c r="R6" s="4" t="s">
        <v>250</v>
      </c>
      <c r="S6" s="21" t="s">
        <v>142</v>
      </c>
      <c r="T6" s="23">
        <v>1</v>
      </c>
    </row>
    <row r="7" spans="1:20" ht="17.25" customHeight="1" x14ac:dyDescent="0.25">
      <c r="A7" s="24" t="s">
        <v>5</v>
      </c>
      <c r="B7" s="2" t="s">
        <v>59</v>
      </c>
      <c r="C7" s="21" t="s">
        <v>1</v>
      </c>
      <c r="D7" s="23">
        <v>23</v>
      </c>
      <c r="E7" s="25" t="s">
        <v>5</v>
      </c>
      <c r="F7" s="4" t="s">
        <v>166</v>
      </c>
      <c r="G7" s="21" t="s">
        <v>142</v>
      </c>
      <c r="H7" s="23">
        <v>11</v>
      </c>
      <c r="I7" s="25" t="s">
        <v>5</v>
      </c>
      <c r="J7" s="2" t="s">
        <v>44</v>
      </c>
      <c r="K7" s="21" t="s">
        <v>13</v>
      </c>
      <c r="L7" s="23">
        <v>7</v>
      </c>
      <c r="M7" s="16" t="s">
        <v>5</v>
      </c>
      <c r="N7" s="5" t="s">
        <v>48</v>
      </c>
      <c r="O7" s="14" t="s">
        <v>1</v>
      </c>
      <c r="P7" s="15">
        <v>17</v>
      </c>
      <c r="Q7" s="16" t="s">
        <v>5</v>
      </c>
      <c r="R7" s="5" t="s">
        <v>111</v>
      </c>
      <c r="S7" s="14" t="s">
        <v>142</v>
      </c>
      <c r="T7" s="15">
        <v>1</v>
      </c>
    </row>
    <row r="8" spans="1:20" ht="17.25" customHeight="1" x14ac:dyDescent="0.25">
      <c r="A8" s="24" t="s">
        <v>7</v>
      </c>
      <c r="B8" s="4" t="s">
        <v>156</v>
      </c>
      <c r="C8" s="21" t="s">
        <v>142</v>
      </c>
      <c r="D8" s="23">
        <v>13</v>
      </c>
      <c r="E8" s="25" t="s">
        <v>7</v>
      </c>
      <c r="F8" s="4" t="s">
        <v>35</v>
      </c>
      <c r="G8" s="21" t="s">
        <v>12</v>
      </c>
      <c r="H8" s="23">
        <v>20</v>
      </c>
      <c r="I8" s="25" t="s">
        <v>7</v>
      </c>
      <c r="J8" s="4" t="s">
        <v>85</v>
      </c>
      <c r="K8" s="21" t="s">
        <v>1</v>
      </c>
      <c r="L8" s="23">
        <v>34</v>
      </c>
      <c r="M8" s="26" t="s">
        <v>7</v>
      </c>
      <c r="N8" s="2" t="s">
        <v>49</v>
      </c>
      <c r="O8" s="21" t="s">
        <v>1</v>
      </c>
      <c r="P8" s="23">
        <v>36</v>
      </c>
      <c r="Q8" s="26" t="s">
        <v>7</v>
      </c>
      <c r="R8" s="4" t="s">
        <v>30</v>
      </c>
      <c r="S8" s="21" t="s">
        <v>12</v>
      </c>
      <c r="T8" s="23">
        <v>1</v>
      </c>
    </row>
    <row r="9" spans="1:20" ht="17.25" customHeight="1" thickBot="1" x14ac:dyDescent="0.3">
      <c r="A9" s="17" t="s">
        <v>8</v>
      </c>
      <c r="B9" s="3" t="s">
        <v>169</v>
      </c>
      <c r="C9" s="18" t="s">
        <v>142</v>
      </c>
      <c r="D9" s="19">
        <v>18</v>
      </c>
      <c r="E9" s="27" t="s">
        <v>8</v>
      </c>
      <c r="F9" s="3" t="s">
        <v>268</v>
      </c>
      <c r="G9" s="18" t="s">
        <v>142</v>
      </c>
      <c r="H9" s="19">
        <v>2</v>
      </c>
      <c r="I9" s="27" t="s">
        <v>8</v>
      </c>
      <c r="J9" s="3" t="s">
        <v>194</v>
      </c>
      <c r="K9" s="18" t="s">
        <v>142</v>
      </c>
      <c r="L9" s="19">
        <v>17</v>
      </c>
      <c r="M9" s="20" t="s">
        <v>8</v>
      </c>
      <c r="N9" s="32" t="s">
        <v>146</v>
      </c>
      <c r="O9" s="18" t="s">
        <v>142</v>
      </c>
      <c r="P9" s="19">
        <v>28</v>
      </c>
      <c r="Q9" s="20" t="s">
        <v>8</v>
      </c>
      <c r="R9" s="3" t="s">
        <v>178</v>
      </c>
      <c r="S9" s="18" t="s">
        <v>142</v>
      </c>
      <c r="T9" s="19">
        <v>7</v>
      </c>
    </row>
    <row r="10" spans="1:20" ht="17.25" customHeight="1" x14ac:dyDescent="0.25">
      <c r="A10" s="24" t="s">
        <v>9</v>
      </c>
      <c r="B10" s="4" t="s">
        <v>60</v>
      </c>
      <c r="C10" s="21" t="s">
        <v>20</v>
      </c>
      <c r="D10" s="23">
        <v>15</v>
      </c>
      <c r="E10" s="25" t="s">
        <v>9</v>
      </c>
      <c r="F10" s="4" t="s">
        <v>23</v>
      </c>
      <c r="G10" s="21" t="s">
        <v>10</v>
      </c>
      <c r="H10" s="23">
        <v>10</v>
      </c>
      <c r="I10" s="25" t="s">
        <v>9</v>
      </c>
      <c r="J10" s="4" t="s">
        <v>86</v>
      </c>
      <c r="K10" s="21" t="s">
        <v>20</v>
      </c>
      <c r="L10" s="23">
        <v>15</v>
      </c>
      <c r="M10" s="16" t="s">
        <v>9</v>
      </c>
      <c r="N10" s="5" t="s">
        <v>25</v>
      </c>
      <c r="O10" s="14" t="s">
        <v>12</v>
      </c>
      <c r="P10" s="15">
        <v>1</v>
      </c>
      <c r="Q10" s="22" t="s">
        <v>9</v>
      </c>
      <c r="R10" s="4" t="s">
        <v>79</v>
      </c>
      <c r="S10" s="21" t="s">
        <v>1</v>
      </c>
      <c r="T10" s="23">
        <v>47</v>
      </c>
    </row>
    <row r="11" spans="1:20" ht="17.25" customHeight="1" x14ac:dyDescent="0.25">
      <c r="A11" s="24" t="s">
        <v>9</v>
      </c>
      <c r="B11" s="4" t="s">
        <v>172</v>
      </c>
      <c r="C11" s="21" t="s">
        <v>142</v>
      </c>
      <c r="D11" s="23">
        <v>17</v>
      </c>
      <c r="E11" s="25" t="s">
        <v>9</v>
      </c>
      <c r="F11" s="4" t="s">
        <v>17</v>
      </c>
      <c r="G11" s="21" t="s">
        <v>12</v>
      </c>
      <c r="H11" s="23">
        <v>20</v>
      </c>
      <c r="I11" s="25" t="s">
        <v>9</v>
      </c>
      <c r="J11" s="4" t="s">
        <v>45</v>
      </c>
      <c r="K11" s="21" t="s">
        <v>10</v>
      </c>
      <c r="L11" s="23">
        <v>10</v>
      </c>
      <c r="M11" s="26" t="s">
        <v>9</v>
      </c>
      <c r="N11" s="2" t="s">
        <v>24</v>
      </c>
      <c r="O11" s="21" t="s">
        <v>10</v>
      </c>
      <c r="P11" s="23">
        <v>10</v>
      </c>
      <c r="Q11" s="25" t="s">
        <v>9</v>
      </c>
      <c r="R11" s="4" t="s">
        <v>80</v>
      </c>
      <c r="S11" s="21" t="s">
        <v>1</v>
      </c>
      <c r="T11" s="23">
        <v>44</v>
      </c>
    </row>
    <row r="12" spans="1:20" ht="17.25" customHeight="1" x14ac:dyDescent="0.25">
      <c r="A12" s="24" t="s">
        <v>9</v>
      </c>
      <c r="B12" s="4" t="s">
        <v>188</v>
      </c>
      <c r="C12" s="21" t="s">
        <v>142</v>
      </c>
      <c r="D12" s="23">
        <v>18</v>
      </c>
      <c r="E12" s="25" t="s">
        <v>9</v>
      </c>
      <c r="F12" s="4" t="s">
        <v>100</v>
      </c>
      <c r="G12" s="21" t="s">
        <v>142</v>
      </c>
      <c r="H12" s="23">
        <v>5</v>
      </c>
      <c r="I12" s="25" t="s">
        <v>9</v>
      </c>
      <c r="J12" s="4" t="s">
        <v>87</v>
      </c>
      <c r="K12" s="21" t="s">
        <v>1</v>
      </c>
      <c r="L12" s="23">
        <v>1</v>
      </c>
      <c r="M12" s="26" t="s">
        <v>9</v>
      </c>
      <c r="N12" s="2" t="s">
        <v>175</v>
      </c>
      <c r="O12" s="21" t="s">
        <v>142</v>
      </c>
      <c r="P12" s="23">
        <v>8</v>
      </c>
      <c r="Q12" s="25" t="s">
        <v>9</v>
      </c>
      <c r="R12" s="32" t="s">
        <v>144</v>
      </c>
      <c r="S12" s="21" t="s">
        <v>142</v>
      </c>
      <c r="T12" s="23">
        <v>12</v>
      </c>
    </row>
    <row r="13" spans="1:20" ht="17.25" customHeight="1" x14ac:dyDescent="0.25">
      <c r="A13" s="24" t="s">
        <v>9</v>
      </c>
      <c r="B13" s="2" t="s">
        <v>208</v>
      </c>
      <c r="C13" s="21" t="s">
        <v>142</v>
      </c>
      <c r="D13" s="23">
        <v>22</v>
      </c>
      <c r="E13" s="25" t="s">
        <v>9</v>
      </c>
      <c r="F13" s="2" t="s">
        <v>254</v>
      </c>
      <c r="G13" s="21" t="s">
        <v>142</v>
      </c>
      <c r="H13" s="23">
        <v>1</v>
      </c>
      <c r="I13" s="25" t="s">
        <v>9</v>
      </c>
      <c r="J13" s="2" t="s">
        <v>113</v>
      </c>
      <c r="K13" s="21" t="s">
        <v>142</v>
      </c>
      <c r="L13" s="23">
        <v>17</v>
      </c>
      <c r="M13" s="26" t="s">
        <v>9</v>
      </c>
      <c r="N13" s="2" t="s">
        <v>265</v>
      </c>
      <c r="O13" s="2" t="s">
        <v>142</v>
      </c>
      <c r="P13" s="23">
        <v>3</v>
      </c>
      <c r="Q13" s="25" t="s">
        <v>9</v>
      </c>
      <c r="R13" s="4" t="s">
        <v>226</v>
      </c>
      <c r="S13" s="21" t="s">
        <v>142</v>
      </c>
      <c r="T13" s="23">
        <v>11</v>
      </c>
    </row>
    <row r="14" spans="1:20" ht="17.25" customHeight="1" thickBot="1" x14ac:dyDescent="0.3">
      <c r="A14" s="17" t="s">
        <v>9</v>
      </c>
      <c r="B14" s="3" t="s">
        <v>256</v>
      </c>
      <c r="C14" s="18" t="s">
        <v>142</v>
      </c>
      <c r="D14" s="19">
        <v>4</v>
      </c>
      <c r="E14" s="27" t="s">
        <v>9</v>
      </c>
      <c r="F14" s="3" t="s">
        <v>262</v>
      </c>
      <c r="G14" s="18" t="s">
        <v>142</v>
      </c>
      <c r="H14" s="19">
        <v>3</v>
      </c>
      <c r="I14" s="27" t="s">
        <v>9</v>
      </c>
      <c r="J14" s="3" t="s">
        <v>236</v>
      </c>
      <c r="K14" s="18" t="s">
        <v>142</v>
      </c>
      <c r="L14" s="19">
        <v>8</v>
      </c>
      <c r="M14" s="20" t="s">
        <v>9</v>
      </c>
      <c r="N14" s="4" t="s">
        <v>124</v>
      </c>
      <c r="O14" s="21" t="s">
        <v>142</v>
      </c>
      <c r="P14" s="19">
        <v>1</v>
      </c>
      <c r="Q14" s="27" t="s">
        <v>9</v>
      </c>
      <c r="R14" s="3" t="s">
        <v>281</v>
      </c>
      <c r="S14" s="18" t="s">
        <v>142</v>
      </c>
      <c r="T14" s="19">
        <v>1</v>
      </c>
    </row>
    <row r="15" spans="1:20" ht="17.25" customHeight="1" thickBot="1" x14ac:dyDescent="0.3">
      <c r="A15" s="28" t="s">
        <v>11</v>
      </c>
      <c r="B15" s="3" t="s">
        <v>275</v>
      </c>
      <c r="C15" s="18" t="s">
        <v>142</v>
      </c>
      <c r="D15" s="19">
        <v>1</v>
      </c>
      <c r="E15" s="29" t="s">
        <v>11</v>
      </c>
      <c r="F15" s="3" t="s">
        <v>271</v>
      </c>
      <c r="G15" s="18" t="s">
        <v>142</v>
      </c>
      <c r="H15" s="19">
        <v>3</v>
      </c>
      <c r="I15" s="29" t="s">
        <v>11</v>
      </c>
      <c r="J15" s="3" t="s">
        <v>264</v>
      </c>
      <c r="K15" s="18" t="s">
        <v>142</v>
      </c>
      <c r="L15" s="19">
        <v>2</v>
      </c>
      <c r="M15" s="30" t="s">
        <v>11</v>
      </c>
      <c r="N15" s="6" t="s">
        <v>98</v>
      </c>
      <c r="O15" s="29" t="s">
        <v>142</v>
      </c>
      <c r="P15" s="31">
        <v>10</v>
      </c>
      <c r="Q15" s="30" t="s">
        <v>11</v>
      </c>
      <c r="R15" s="6" t="s">
        <v>81</v>
      </c>
      <c r="S15" s="29" t="s">
        <v>1</v>
      </c>
      <c r="T15" s="31">
        <v>23</v>
      </c>
    </row>
    <row r="16" spans="1:20" ht="17.25" customHeight="1" x14ac:dyDescent="0.25">
      <c r="A16" s="24" t="s">
        <v>14</v>
      </c>
      <c r="B16" s="4" t="s">
        <v>43</v>
      </c>
      <c r="C16" s="21" t="s">
        <v>10</v>
      </c>
      <c r="D16" s="23">
        <v>10</v>
      </c>
      <c r="E16" s="25" t="s">
        <v>14</v>
      </c>
      <c r="F16" s="4" t="s">
        <v>37</v>
      </c>
      <c r="G16" s="21" t="s">
        <v>12</v>
      </c>
      <c r="H16" s="23">
        <v>1</v>
      </c>
      <c r="I16" s="25" t="s">
        <v>14</v>
      </c>
      <c r="J16" s="4" t="s">
        <v>88</v>
      </c>
      <c r="K16" s="21" t="s">
        <v>1</v>
      </c>
      <c r="L16" s="23">
        <v>1</v>
      </c>
      <c r="M16" s="26" t="s">
        <v>14</v>
      </c>
      <c r="N16" s="4" t="s">
        <v>51</v>
      </c>
      <c r="O16" s="14" t="s">
        <v>1</v>
      </c>
      <c r="P16" s="23">
        <v>7</v>
      </c>
      <c r="Q16" s="26" t="s">
        <v>14</v>
      </c>
      <c r="R16" s="4" t="s">
        <v>36</v>
      </c>
      <c r="S16" s="14" t="s">
        <v>12</v>
      </c>
      <c r="T16" s="23">
        <v>4</v>
      </c>
    </row>
    <row r="17" spans="1:23" ht="17.25" customHeight="1" x14ac:dyDescent="0.25">
      <c r="A17" s="24" t="s">
        <v>14</v>
      </c>
      <c r="B17" s="4" t="s">
        <v>61</v>
      </c>
      <c r="C17" s="21" t="s">
        <v>3</v>
      </c>
      <c r="D17" s="23">
        <v>5</v>
      </c>
      <c r="E17" s="25" t="s">
        <v>14</v>
      </c>
      <c r="F17" s="4" t="s">
        <v>46</v>
      </c>
      <c r="G17" s="21" t="s">
        <v>12</v>
      </c>
      <c r="H17" s="23">
        <v>16</v>
      </c>
      <c r="I17" s="25" t="s">
        <v>14</v>
      </c>
      <c r="J17" s="4" t="s">
        <v>89</v>
      </c>
      <c r="K17" s="21" t="s">
        <v>1</v>
      </c>
      <c r="L17" s="23">
        <v>4</v>
      </c>
      <c r="M17" s="26" t="s">
        <v>14</v>
      </c>
      <c r="N17" s="4" t="s">
        <v>174</v>
      </c>
      <c r="O17" s="21" t="s">
        <v>142</v>
      </c>
      <c r="P17" s="23">
        <v>9</v>
      </c>
      <c r="Q17" s="26" t="s">
        <v>14</v>
      </c>
      <c r="R17" s="4" t="s">
        <v>82</v>
      </c>
      <c r="S17" s="21" t="s">
        <v>1</v>
      </c>
      <c r="T17" s="23">
        <v>25</v>
      </c>
    </row>
    <row r="18" spans="1:23" ht="17.25" customHeight="1" x14ac:dyDescent="0.25">
      <c r="A18" s="24" t="s">
        <v>14</v>
      </c>
      <c r="B18" s="4" t="s">
        <v>21</v>
      </c>
      <c r="C18" s="21" t="s">
        <v>20</v>
      </c>
      <c r="D18" s="23">
        <v>15</v>
      </c>
      <c r="E18" s="25" t="s">
        <v>14</v>
      </c>
      <c r="F18" s="4" t="s">
        <v>77</v>
      </c>
      <c r="G18" s="21" t="s">
        <v>1</v>
      </c>
      <c r="H18" s="23">
        <v>16</v>
      </c>
      <c r="I18" s="25" t="s">
        <v>14</v>
      </c>
      <c r="J18" s="32" t="s">
        <v>112</v>
      </c>
      <c r="K18" s="21" t="s">
        <v>142</v>
      </c>
      <c r="L18" s="23">
        <v>11</v>
      </c>
      <c r="M18" s="26" t="s">
        <v>14</v>
      </c>
      <c r="N18" s="4" t="s">
        <v>180</v>
      </c>
      <c r="O18" s="21" t="s">
        <v>142</v>
      </c>
      <c r="P18" s="23">
        <v>12</v>
      </c>
      <c r="Q18" s="26" t="s">
        <v>14</v>
      </c>
      <c r="R18" s="4" t="s">
        <v>32</v>
      </c>
      <c r="S18" s="21" t="s">
        <v>10</v>
      </c>
      <c r="T18" s="23">
        <v>10</v>
      </c>
    </row>
    <row r="19" spans="1:23" ht="17.25" customHeight="1" x14ac:dyDescent="0.25">
      <c r="A19" s="24" t="s">
        <v>14</v>
      </c>
      <c r="B19" s="4" t="s">
        <v>62</v>
      </c>
      <c r="C19" s="21" t="s">
        <v>3</v>
      </c>
      <c r="D19" s="23">
        <v>5</v>
      </c>
      <c r="E19" s="25" t="s">
        <v>14</v>
      </c>
      <c r="F19" s="4" t="s">
        <v>38</v>
      </c>
      <c r="G19" s="21" t="s">
        <v>10</v>
      </c>
      <c r="H19" s="23">
        <v>10</v>
      </c>
      <c r="I19" s="25" t="s">
        <v>14</v>
      </c>
      <c r="J19" s="4" t="s">
        <v>163</v>
      </c>
      <c r="K19" s="21" t="s">
        <v>142</v>
      </c>
      <c r="L19" s="23">
        <v>18</v>
      </c>
      <c r="M19" s="26" t="s">
        <v>14</v>
      </c>
      <c r="N19" s="2" t="s">
        <v>185</v>
      </c>
      <c r="O19" s="21" t="s">
        <v>142</v>
      </c>
      <c r="P19" s="23">
        <v>21</v>
      </c>
      <c r="Q19" s="26" t="s">
        <v>14</v>
      </c>
      <c r="R19" s="4" t="s">
        <v>31</v>
      </c>
      <c r="S19" s="21" t="s">
        <v>15</v>
      </c>
      <c r="T19" s="23">
        <v>14</v>
      </c>
    </row>
    <row r="20" spans="1:23" ht="17.25" customHeight="1" x14ac:dyDescent="0.25">
      <c r="A20" s="24" t="s">
        <v>14</v>
      </c>
      <c r="B20" s="4" t="s">
        <v>170</v>
      </c>
      <c r="C20" s="21" t="s">
        <v>142</v>
      </c>
      <c r="D20" s="23">
        <v>18</v>
      </c>
      <c r="E20" s="26" t="s">
        <v>14</v>
      </c>
      <c r="F20" s="32" t="s">
        <v>155</v>
      </c>
      <c r="G20" s="21" t="s">
        <v>142</v>
      </c>
      <c r="H20" s="23">
        <v>32</v>
      </c>
      <c r="I20" s="26" t="s">
        <v>14</v>
      </c>
      <c r="J20" s="4" t="s">
        <v>165</v>
      </c>
      <c r="K20" s="21" t="s">
        <v>142</v>
      </c>
      <c r="L20" s="23">
        <v>31</v>
      </c>
      <c r="M20" s="26" t="s">
        <v>14</v>
      </c>
      <c r="N20" s="4" t="s">
        <v>246</v>
      </c>
      <c r="O20" s="21" t="s">
        <v>142</v>
      </c>
      <c r="P20" s="23">
        <v>5</v>
      </c>
      <c r="Q20" s="26" t="s">
        <v>14</v>
      </c>
      <c r="R20" s="4" t="s">
        <v>211</v>
      </c>
      <c r="S20" s="21" t="s">
        <v>142</v>
      </c>
      <c r="T20" s="23">
        <v>18</v>
      </c>
    </row>
    <row r="21" spans="1:23" ht="17.25" customHeight="1" x14ac:dyDescent="0.25">
      <c r="A21" s="24" t="s">
        <v>14</v>
      </c>
      <c r="B21" s="4" t="s">
        <v>196</v>
      </c>
      <c r="C21" s="21" t="s">
        <v>142</v>
      </c>
      <c r="D21" s="23">
        <v>5</v>
      </c>
      <c r="E21" s="26" t="s">
        <v>14</v>
      </c>
      <c r="F21" s="2" t="s">
        <v>115</v>
      </c>
      <c r="G21" s="21" t="s">
        <v>142</v>
      </c>
      <c r="H21" s="23">
        <v>4</v>
      </c>
      <c r="I21" s="26" t="s">
        <v>14</v>
      </c>
      <c r="J21" s="4" t="s">
        <v>167</v>
      </c>
      <c r="K21" s="21" t="s">
        <v>142</v>
      </c>
      <c r="L21" s="23">
        <v>25</v>
      </c>
      <c r="M21" s="26" t="s">
        <v>14</v>
      </c>
      <c r="N21" s="2" t="s">
        <v>248</v>
      </c>
      <c r="O21" s="2" t="s">
        <v>142</v>
      </c>
      <c r="P21" s="23">
        <v>3</v>
      </c>
      <c r="Q21" s="26" t="s">
        <v>14</v>
      </c>
      <c r="R21" s="2" t="s">
        <v>219</v>
      </c>
      <c r="S21" s="2" t="s">
        <v>142</v>
      </c>
      <c r="T21" s="23">
        <v>9</v>
      </c>
    </row>
    <row r="22" spans="1:23" ht="17.25" customHeight="1" x14ac:dyDescent="0.25">
      <c r="A22" s="24" t="s">
        <v>14</v>
      </c>
      <c r="B22" s="4" t="s">
        <v>222</v>
      </c>
      <c r="C22" s="21" t="s">
        <v>142</v>
      </c>
      <c r="D22" s="23">
        <v>2</v>
      </c>
      <c r="E22" s="26" t="s">
        <v>14</v>
      </c>
      <c r="F22" s="4" t="s">
        <v>176</v>
      </c>
      <c r="G22" s="21" t="s">
        <v>142</v>
      </c>
      <c r="H22" s="23">
        <v>30</v>
      </c>
      <c r="I22" s="26" t="s">
        <v>14</v>
      </c>
      <c r="J22" s="4" t="s">
        <v>243</v>
      </c>
      <c r="K22" s="21" t="s">
        <v>142</v>
      </c>
      <c r="L22" s="23">
        <v>4</v>
      </c>
      <c r="M22" s="26" t="s">
        <v>14</v>
      </c>
      <c r="N22" s="4" t="s">
        <v>260</v>
      </c>
      <c r="O22" s="21" t="s">
        <v>142</v>
      </c>
      <c r="P22" s="23">
        <v>2</v>
      </c>
      <c r="Q22" s="26" t="s">
        <v>14</v>
      </c>
      <c r="R22" s="4" t="s">
        <v>247</v>
      </c>
      <c r="S22" s="21" t="s">
        <v>142</v>
      </c>
      <c r="T22" s="23">
        <v>4</v>
      </c>
    </row>
    <row r="23" spans="1:23" ht="17.25" customHeight="1" x14ac:dyDescent="0.25">
      <c r="A23" s="24" t="s">
        <v>14</v>
      </c>
      <c r="B23" s="4" t="s">
        <v>251</v>
      </c>
      <c r="C23" s="21" t="s">
        <v>142</v>
      </c>
      <c r="D23" s="23">
        <v>1</v>
      </c>
      <c r="E23" s="26" t="s">
        <v>14</v>
      </c>
      <c r="F23" s="4" t="s">
        <v>189</v>
      </c>
      <c r="G23" s="21" t="s">
        <v>142</v>
      </c>
      <c r="H23" s="23">
        <v>18</v>
      </c>
      <c r="I23" s="26" t="s">
        <v>14</v>
      </c>
      <c r="J23" s="4" t="s">
        <v>106</v>
      </c>
      <c r="K23" s="21" t="s">
        <v>142</v>
      </c>
      <c r="L23" s="23">
        <v>3</v>
      </c>
      <c r="M23" s="26" t="s">
        <v>14</v>
      </c>
      <c r="N23" s="4" t="s">
        <v>288</v>
      </c>
      <c r="O23" s="21" t="s">
        <v>142</v>
      </c>
      <c r="P23" s="23">
        <v>1</v>
      </c>
      <c r="Q23" s="26" t="s">
        <v>14</v>
      </c>
      <c r="R23" s="4" t="s">
        <v>274</v>
      </c>
      <c r="S23" s="21" t="s">
        <v>142</v>
      </c>
      <c r="T23" s="23">
        <v>1</v>
      </c>
    </row>
    <row r="24" spans="1:23" ht="17.25" customHeight="1" thickBot="1" x14ac:dyDescent="0.3">
      <c r="A24" s="17" t="s">
        <v>14</v>
      </c>
      <c r="B24" s="3" t="s">
        <v>252</v>
      </c>
      <c r="C24" s="18" t="s">
        <v>142</v>
      </c>
      <c r="D24" s="19">
        <v>2</v>
      </c>
      <c r="E24" s="20" t="s">
        <v>14</v>
      </c>
      <c r="F24" s="9" t="s">
        <v>223</v>
      </c>
      <c r="G24" s="18" t="s">
        <v>142</v>
      </c>
      <c r="H24" s="19">
        <v>1</v>
      </c>
      <c r="I24" s="20" t="s">
        <v>14</v>
      </c>
      <c r="J24" s="3" t="s">
        <v>287</v>
      </c>
      <c r="K24" s="18" t="s">
        <v>142</v>
      </c>
      <c r="L24" s="19">
        <v>1</v>
      </c>
      <c r="M24" s="20" t="s">
        <v>14</v>
      </c>
      <c r="N24" s="3" t="s">
        <v>26</v>
      </c>
      <c r="O24" s="18" t="s">
        <v>12</v>
      </c>
      <c r="P24" s="19">
        <v>18</v>
      </c>
      <c r="Q24" s="20" t="s">
        <v>14</v>
      </c>
      <c r="R24" s="3" t="s">
        <v>289</v>
      </c>
      <c r="S24" s="18" t="s">
        <v>142</v>
      </c>
      <c r="T24" s="19">
        <v>1</v>
      </c>
    </row>
    <row r="25" spans="1:23" ht="21" customHeight="1" thickBot="1" x14ac:dyDescent="0.35">
      <c r="A25" s="42" t="str">
        <f>"Team F $"&amp;260-SUM(D26:D48)</f>
        <v>Team F $16</v>
      </c>
      <c r="B25" s="43"/>
      <c r="C25" s="43"/>
      <c r="D25" s="44"/>
      <c r="E25" s="45" t="str">
        <f>"Team G $"&amp;260-SUM(H26:H48)</f>
        <v>Team G $0</v>
      </c>
      <c r="F25" s="46"/>
      <c r="G25" s="46"/>
      <c r="H25" s="47"/>
      <c r="I25" s="45" t="str">
        <f>"Team H $"&amp;260-SUM(L26:L48)</f>
        <v>Team H $0</v>
      </c>
      <c r="J25" s="46"/>
      <c r="K25" s="46"/>
      <c r="L25" s="47"/>
      <c r="M25" s="45" t="str">
        <f>"Team I $"&amp;260-SUM(P26:P48)</f>
        <v>Team I $-1</v>
      </c>
      <c r="N25" s="46"/>
      <c r="O25" s="46"/>
      <c r="P25" s="47"/>
      <c r="Q25" s="42"/>
      <c r="R25" s="43"/>
      <c r="S25" s="43"/>
      <c r="T25" s="44"/>
    </row>
    <row r="26" spans="1:23" ht="17.25" customHeight="1" x14ac:dyDescent="0.25">
      <c r="A26" s="13" t="s">
        <v>0</v>
      </c>
      <c r="B26" s="5" t="s">
        <v>198</v>
      </c>
      <c r="C26" s="14" t="s">
        <v>142</v>
      </c>
      <c r="D26" s="15">
        <v>7</v>
      </c>
      <c r="E26" s="16" t="s">
        <v>0</v>
      </c>
      <c r="F26" s="32" t="s">
        <v>270</v>
      </c>
      <c r="G26" s="14" t="s">
        <v>142</v>
      </c>
      <c r="H26" s="15">
        <v>1</v>
      </c>
      <c r="I26" s="16" t="s">
        <v>0</v>
      </c>
      <c r="J26" s="5" t="s">
        <v>70</v>
      </c>
      <c r="K26" s="14" t="s">
        <v>1</v>
      </c>
      <c r="L26" s="15">
        <v>2</v>
      </c>
      <c r="M26" s="16" t="s">
        <v>0</v>
      </c>
      <c r="N26" s="5" t="s">
        <v>52</v>
      </c>
      <c r="O26" s="14" t="s">
        <v>1</v>
      </c>
      <c r="P26" s="15">
        <v>1</v>
      </c>
      <c r="Q26" s="16"/>
      <c r="R26" s="5"/>
      <c r="S26" s="14"/>
      <c r="T26" s="15"/>
    </row>
    <row r="27" spans="1:23" ht="17.25" customHeight="1" thickBot="1" x14ac:dyDescent="0.3">
      <c r="A27" s="17" t="s">
        <v>0</v>
      </c>
      <c r="B27" s="3" t="s">
        <v>221</v>
      </c>
      <c r="C27" s="18" t="s">
        <v>142</v>
      </c>
      <c r="D27" s="19">
        <v>7</v>
      </c>
      <c r="E27" s="20" t="s">
        <v>0</v>
      </c>
      <c r="F27" s="3" t="s">
        <v>276</v>
      </c>
      <c r="G27" s="18" t="s">
        <v>142</v>
      </c>
      <c r="H27" s="19">
        <v>1</v>
      </c>
      <c r="I27" s="20" t="s">
        <v>0</v>
      </c>
      <c r="J27" s="32" t="s">
        <v>269</v>
      </c>
      <c r="K27" s="18" t="s">
        <v>142</v>
      </c>
      <c r="L27" s="19">
        <v>1</v>
      </c>
      <c r="M27" s="20" t="s">
        <v>0</v>
      </c>
      <c r="N27" s="3" t="s">
        <v>217</v>
      </c>
      <c r="O27" s="18" t="s">
        <v>142</v>
      </c>
      <c r="P27" s="19">
        <v>4</v>
      </c>
      <c r="Q27" s="20"/>
      <c r="R27" s="3"/>
      <c r="S27" s="18"/>
      <c r="T27" s="19"/>
    </row>
    <row r="28" spans="1:23" ht="17.25" customHeight="1" x14ac:dyDescent="0.25">
      <c r="A28" s="13" t="s">
        <v>2</v>
      </c>
      <c r="B28" s="2" t="s">
        <v>192</v>
      </c>
      <c r="C28" s="21" t="s">
        <v>142</v>
      </c>
      <c r="D28" s="15">
        <v>16</v>
      </c>
      <c r="E28" s="22" t="s">
        <v>2</v>
      </c>
      <c r="F28" s="2" t="s">
        <v>27</v>
      </c>
      <c r="G28" s="21" t="s">
        <v>10</v>
      </c>
      <c r="H28" s="15">
        <v>10</v>
      </c>
      <c r="I28" s="22" t="s">
        <v>2</v>
      </c>
      <c r="J28" s="2" t="s">
        <v>71</v>
      </c>
      <c r="K28" s="21" t="s">
        <v>1</v>
      </c>
      <c r="L28" s="15">
        <v>31</v>
      </c>
      <c r="M28" s="22" t="s">
        <v>2</v>
      </c>
      <c r="N28" s="2" t="s">
        <v>161</v>
      </c>
      <c r="O28" s="21" t="s">
        <v>142</v>
      </c>
      <c r="P28" s="15">
        <v>11</v>
      </c>
      <c r="Q28" s="22"/>
      <c r="S28" s="21"/>
      <c r="T28" s="15"/>
    </row>
    <row r="29" spans="1:23" ht="17.25" customHeight="1" x14ac:dyDescent="0.25">
      <c r="A29" s="24" t="s">
        <v>4</v>
      </c>
      <c r="B29" s="4" t="s">
        <v>66</v>
      </c>
      <c r="C29" s="21" t="s">
        <v>1</v>
      </c>
      <c r="D29" s="23">
        <v>11</v>
      </c>
      <c r="E29" s="25" t="s">
        <v>4</v>
      </c>
      <c r="F29" s="32" t="s">
        <v>153</v>
      </c>
      <c r="G29" s="21" t="s">
        <v>142</v>
      </c>
      <c r="H29" s="23">
        <v>31</v>
      </c>
      <c r="I29" s="25" t="s">
        <v>4</v>
      </c>
      <c r="J29" s="32" t="s">
        <v>149</v>
      </c>
      <c r="K29" s="21" t="s">
        <v>142</v>
      </c>
      <c r="L29" s="23">
        <v>33</v>
      </c>
      <c r="M29" s="25" t="s">
        <v>4</v>
      </c>
      <c r="N29" s="4" t="s">
        <v>39</v>
      </c>
      <c r="O29" s="21" t="s">
        <v>12</v>
      </c>
      <c r="P29" s="23">
        <v>33</v>
      </c>
      <c r="Q29" s="25"/>
      <c r="R29" s="4"/>
      <c r="S29" s="21"/>
      <c r="T29" s="23"/>
    </row>
    <row r="30" spans="1:23" ht="17.25" customHeight="1" thickBot="1" x14ac:dyDescent="0.3">
      <c r="A30" s="17" t="s">
        <v>6</v>
      </c>
      <c r="B30" s="32" t="s">
        <v>152</v>
      </c>
      <c r="C30" s="18" t="s">
        <v>142</v>
      </c>
      <c r="D30" s="19">
        <v>25</v>
      </c>
      <c r="E30" s="27" t="s">
        <v>6</v>
      </c>
      <c r="F30" s="3" t="s">
        <v>63</v>
      </c>
      <c r="G30" s="18" t="s">
        <v>1</v>
      </c>
      <c r="H30" s="19">
        <v>1</v>
      </c>
      <c r="I30" s="27" t="s">
        <v>6</v>
      </c>
      <c r="J30" s="2" t="s">
        <v>95</v>
      </c>
      <c r="K30" s="21" t="s">
        <v>142</v>
      </c>
      <c r="L30" s="23">
        <v>5</v>
      </c>
      <c r="M30" s="27" t="s">
        <v>6</v>
      </c>
      <c r="N30" s="3" t="s">
        <v>266</v>
      </c>
      <c r="O30" s="18" t="s">
        <v>142</v>
      </c>
      <c r="P30" s="19">
        <v>1</v>
      </c>
      <c r="Q30" s="27"/>
      <c r="R30" s="3"/>
      <c r="S30" s="18"/>
      <c r="T30" s="19"/>
      <c r="U30" s="4"/>
      <c r="V30" s="21"/>
      <c r="W30" s="25"/>
    </row>
    <row r="31" spans="1:23" ht="17.25" customHeight="1" x14ac:dyDescent="0.25">
      <c r="A31" s="24" t="s">
        <v>5</v>
      </c>
      <c r="B31" s="32" t="s">
        <v>99</v>
      </c>
      <c r="C31" s="21" t="s">
        <v>142</v>
      </c>
      <c r="D31" s="23">
        <v>38</v>
      </c>
      <c r="E31" s="25" t="s">
        <v>5</v>
      </c>
      <c r="F31" s="32" t="s">
        <v>151</v>
      </c>
      <c r="G31" s="21" t="s">
        <v>142</v>
      </c>
      <c r="H31" s="23">
        <v>25</v>
      </c>
      <c r="I31" s="25" t="s">
        <v>5</v>
      </c>
      <c r="J31" s="2" t="s">
        <v>249</v>
      </c>
      <c r="K31" s="21" t="s">
        <v>142</v>
      </c>
      <c r="L31" s="15">
        <v>2</v>
      </c>
      <c r="M31" s="25" t="s">
        <v>5</v>
      </c>
      <c r="N31" s="2" t="s">
        <v>257</v>
      </c>
      <c r="O31" s="21" t="s">
        <v>142</v>
      </c>
      <c r="P31" s="23">
        <v>4</v>
      </c>
      <c r="Q31" s="25"/>
      <c r="S31" s="21"/>
      <c r="T31" s="23"/>
    </row>
    <row r="32" spans="1:23" ht="17.25" customHeight="1" x14ac:dyDescent="0.25">
      <c r="A32" s="24" t="s">
        <v>7</v>
      </c>
      <c r="B32" s="32" t="s">
        <v>357</v>
      </c>
      <c r="C32" s="21" t="s">
        <v>142</v>
      </c>
      <c r="D32" s="23">
        <v>1</v>
      </c>
      <c r="E32" s="25" t="s">
        <v>7</v>
      </c>
      <c r="F32" s="4" t="s">
        <v>28</v>
      </c>
      <c r="G32" s="21" t="s">
        <v>10</v>
      </c>
      <c r="H32" s="23">
        <v>10</v>
      </c>
      <c r="I32" s="25" t="s">
        <v>7</v>
      </c>
      <c r="J32" s="4" t="s">
        <v>47</v>
      </c>
      <c r="K32" s="21" t="s">
        <v>20</v>
      </c>
      <c r="L32" s="23">
        <v>15</v>
      </c>
      <c r="M32" s="25" t="s">
        <v>7</v>
      </c>
      <c r="N32" s="4" t="s">
        <v>53</v>
      </c>
      <c r="O32" s="21" t="s">
        <v>12</v>
      </c>
      <c r="P32" s="23">
        <v>11</v>
      </c>
      <c r="Q32" s="25"/>
      <c r="R32" s="4"/>
      <c r="S32" s="21"/>
      <c r="T32" s="23"/>
    </row>
    <row r="33" spans="1:20" ht="17.25" customHeight="1" thickBot="1" x14ac:dyDescent="0.3">
      <c r="A33" s="17" t="s">
        <v>8</v>
      </c>
      <c r="B33" s="32" t="s">
        <v>147</v>
      </c>
      <c r="C33" s="18" t="s">
        <v>142</v>
      </c>
      <c r="D33" s="19">
        <v>18</v>
      </c>
      <c r="E33" s="27" t="s">
        <v>8</v>
      </c>
      <c r="F33" s="3" t="s">
        <v>102</v>
      </c>
      <c r="G33" s="18" t="s">
        <v>142</v>
      </c>
      <c r="H33" s="19">
        <v>1</v>
      </c>
      <c r="I33" s="27" t="s">
        <v>8</v>
      </c>
      <c r="J33" s="3" t="s">
        <v>72</v>
      </c>
      <c r="K33" s="18" t="s">
        <v>1</v>
      </c>
      <c r="L33" s="19">
        <v>8</v>
      </c>
      <c r="M33" s="27" t="s">
        <v>8</v>
      </c>
      <c r="N33" s="3" t="s">
        <v>159</v>
      </c>
      <c r="O33" s="18" t="s">
        <v>142</v>
      </c>
      <c r="P33" s="19">
        <v>11</v>
      </c>
      <c r="Q33" s="27"/>
      <c r="R33" s="3"/>
      <c r="S33" s="18"/>
      <c r="T33" s="19"/>
    </row>
    <row r="34" spans="1:20" ht="17.25" customHeight="1" x14ac:dyDescent="0.25">
      <c r="A34" s="24" t="s">
        <v>9</v>
      </c>
      <c r="B34" s="4" t="s">
        <v>22</v>
      </c>
      <c r="C34" s="21" t="s">
        <v>20</v>
      </c>
      <c r="D34" s="23">
        <v>15</v>
      </c>
      <c r="E34" s="25" t="s">
        <v>9</v>
      </c>
      <c r="F34" s="4" t="s">
        <v>64</v>
      </c>
      <c r="G34" s="21" t="s">
        <v>1</v>
      </c>
      <c r="H34" s="23">
        <v>31</v>
      </c>
      <c r="I34" s="25" t="s">
        <v>9</v>
      </c>
      <c r="J34" s="4" t="s">
        <v>73</v>
      </c>
      <c r="K34" s="21" t="s">
        <v>3</v>
      </c>
      <c r="L34" s="23">
        <v>5</v>
      </c>
      <c r="M34" s="25" t="s">
        <v>9</v>
      </c>
      <c r="N34" s="4" t="s">
        <v>54</v>
      </c>
      <c r="O34" s="21" t="s">
        <v>3</v>
      </c>
      <c r="P34" s="23">
        <v>5</v>
      </c>
      <c r="Q34" s="25"/>
      <c r="R34" s="4"/>
      <c r="S34" s="21"/>
      <c r="T34" s="23"/>
    </row>
    <row r="35" spans="1:20" ht="17.25" customHeight="1" x14ac:dyDescent="0.25">
      <c r="A35" s="24" t="s">
        <v>9</v>
      </c>
      <c r="B35" s="4" t="s">
        <v>33</v>
      </c>
      <c r="C35" s="21" t="s">
        <v>10</v>
      </c>
      <c r="D35" s="23">
        <v>10</v>
      </c>
      <c r="E35" s="25" t="s">
        <v>9</v>
      </c>
      <c r="F35" s="4" t="s">
        <v>29</v>
      </c>
      <c r="G35" s="21" t="s">
        <v>12</v>
      </c>
      <c r="H35" s="23">
        <v>2</v>
      </c>
      <c r="I35" s="25" t="s">
        <v>9</v>
      </c>
      <c r="J35" s="32" t="s">
        <v>145</v>
      </c>
      <c r="K35" s="21" t="s">
        <v>142</v>
      </c>
      <c r="L35" s="23">
        <v>43</v>
      </c>
      <c r="M35" s="25" t="s">
        <v>9</v>
      </c>
      <c r="N35" s="4" t="s">
        <v>40</v>
      </c>
      <c r="O35" s="21" t="s">
        <v>12</v>
      </c>
      <c r="P35" s="23">
        <v>18</v>
      </c>
      <c r="Q35" s="25"/>
      <c r="R35" s="4"/>
      <c r="S35" s="21"/>
      <c r="T35" s="23"/>
    </row>
    <row r="36" spans="1:20" ht="17.25" customHeight="1" x14ac:dyDescent="0.25">
      <c r="A36" s="24" t="s">
        <v>9</v>
      </c>
      <c r="B36" s="4" t="s">
        <v>67</v>
      </c>
      <c r="C36" s="21" t="s">
        <v>3</v>
      </c>
      <c r="D36" s="23">
        <v>5</v>
      </c>
      <c r="E36" s="25" t="s">
        <v>9</v>
      </c>
      <c r="F36" s="4" t="s">
        <v>182</v>
      </c>
      <c r="G36" s="21" t="s">
        <v>142</v>
      </c>
      <c r="H36" s="23">
        <v>20</v>
      </c>
      <c r="I36" s="25" t="s">
        <v>9</v>
      </c>
      <c r="J36" s="4" t="s">
        <v>204</v>
      </c>
      <c r="K36" s="21" t="s">
        <v>142</v>
      </c>
      <c r="L36" s="23">
        <v>21</v>
      </c>
      <c r="M36" s="25" t="s">
        <v>9</v>
      </c>
      <c r="N36" s="4" t="s">
        <v>168</v>
      </c>
      <c r="O36" s="21" t="s">
        <v>142</v>
      </c>
      <c r="P36" s="23">
        <v>27</v>
      </c>
      <c r="Q36" s="25"/>
      <c r="R36" s="4"/>
      <c r="S36" s="21"/>
      <c r="T36" s="23"/>
    </row>
    <row r="37" spans="1:20" ht="17.25" customHeight="1" x14ac:dyDescent="0.25">
      <c r="A37" s="24" t="s">
        <v>9</v>
      </c>
      <c r="B37" s="2" t="s">
        <v>184</v>
      </c>
      <c r="C37" s="21" t="s">
        <v>142</v>
      </c>
      <c r="D37" s="23">
        <v>16</v>
      </c>
      <c r="E37" s="25" t="s">
        <v>9</v>
      </c>
      <c r="F37" s="2" t="s">
        <v>202</v>
      </c>
      <c r="G37" s="21" t="s">
        <v>142</v>
      </c>
      <c r="H37" s="23">
        <v>29</v>
      </c>
      <c r="I37" s="25" t="s">
        <v>9</v>
      </c>
      <c r="J37" s="2" t="s">
        <v>215</v>
      </c>
      <c r="K37" s="21" t="s">
        <v>142</v>
      </c>
      <c r="L37" s="23">
        <v>16</v>
      </c>
      <c r="M37" s="25" t="s">
        <v>9</v>
      </c>
      <c r="N37" s="2" t="s">
        <v>193</v>
      </c>
      <c r="O37" s="21" t="s">
        <v>142</v>
      </c>
      <c r="P37" s="23">
        <v>14</v>
      </c>
      <c r="Q37" s="25"/>
      <c r="S37" s="21"/>
      <c r="T37" s="23"/>
    </row>
    <row r="38" spans="1:20" ht="17.25" customHeight="1" thickBot="1" x14ac:dyDescent="0.3">
      <c r="A38" s="17" t="s">
        <v>9</v>
      </c>
      <c r="B38" s="3" t="s">
        <v>212</v>
      </c>
      <c r="C38" s="18" t="s">
        <v>142</v>
      </c>
      <c r="D38" s="19">
        <v>9</v>
      </c>
      <c r="E38" s="27" t="s">
        <v>9</v>
      </c>
      <c r="F38" s="3" t="s">
        <v>213</v>
      </c>
      <c r="G38" s="18" t="s">
        <v>142</v>
      </c>
      <c r="H38" s="19">
        <v>17</v>
      </c>
      <c r="I38" s="27" t="s">
        <v>9</v>
      </c>
      <c r="J38" s="3" t="s">
        <v>225</v>
      </c>
      <c r="K38" s="18" t="s">
        <v>142</v>
      </c>
      <c r="L38" s="19">
        <v>10</v>
      </c>
      <c r="M38" s="27" t="s">
        <v>9</v>
      </c>
      <c r="N38" s="3" t="s">
        <v>207</v>
      </c>
      <c r="O38" s="18" t="s">
        <v>142</v>
      </c>
      <c r="P38" s="19">
        <v>20</v>
      </c>
      <c r="Q38" s="27"/>
      <c r="R38" s="3"/>
      <c r="S38" s="18"/>
      <c r="T38" s="19"/>
    </row>
    <row r="39" spans="1:20" ht="17.25" customHeight="1" thickBot="1" x14ac:dyDescent="0.3">
      <c r="A39" s="28" t="s">
        <v>11</v>
      </c>
      <c r="B39" s="3" t="s">
        <v>228</v>
      </c>
      <c r="C39" s="18" t="s">
        <v>142</v>
      </c>
      <c r="D39" s="19">
        <v>12</v>
      </c>
      <c r="E39" s="29" t="s">
        <v>11</v>
      </c>
      <c r="F39" s="3" t="s">
        <v>179</v>
      </c>
      <c r="G39" s="18" t="s">
        <v>142</v>
      </c>
      <c r="H39" s="19">
        <v>33</v>
      </c>
      <c r="I39" s="29" t="s">
        <v>11</v>
      </c>
      <c r="J39" s="3" t="s">
        <v>122</v>
      </c>
      <c r="K39" s="18" t="s">
        <v>142</v>
      </c>
      <c r="L39" s="19">
        <v>2</v>
      </c>
      <c r="M39" s="29" t="s">
        <v>11</v>
      </c>
      <c r="N39" s="2" t="s">
        <v>280</v>
      </c>
      <c r="O39" s="2" t="s">
        <v>142</v>
      </c>
      <c r="P39" s="23">
        <v>3</v>
      </c>
      <c r="Q39" s="29"/>
      <c r="R39" s="3"/>
      <c r="S39" s="18"/>
      <c r="T39" s="19"/>
    </row>
    <row r="40" spans="1:20" ht="17.25" customHeight="1" x14ac:dyDescent="0.25">
      <c r="A40" s="24" t="s">
        <v>14</v>
      </c>
      <c r="B40" s="4" t="s">
        <v>34</v>
      </c>
      <c r="C40" s="21" t="s">
        <v>12</v>
      </c>
      <c r="D40" s="23">
        <v>4</v>
      </c>
      <c r="E40" s="25" t="s">
        <v>14</v>
      </c>
      <c r="F40" s="32" t="s">
        <v>154</v>
      </c>
      <c r="G40" s="21" t="s">
        <v>142</v>
      </c>
      <c r="H40" s="23">
        <v>15</v>
      </c>
      <c r="I40" s="25" t="s">
        <v>14</v>
      </c>
      <c r="J40" s="4" t="s">
        <v>74</v>
      </c>
      <c r="K40" s="21" t="s">
        <v>3</v>
      </c>
      <c r="L40" s="23">
        <v>5</v>
      </c>
      <c r="M40" s="25" t="s">
        <v>14</v>
      </c>
      <c r="N40" s="4" t="s">
        <v>273</v>
      </c>
      <c r="O40" s="21" t="s">
        <v>142</v>
      </c>
      <c r="P40" s="23">
        <v>3</v>
      </c>
      <c r="Q40" s="25"/>
      <c r="R40" s="4"/>
      <c r="S40" s="21"/>
      <c r="T40" s="23"/>
    </row>
    <row r="41" spans="1:20" ht="17.25" customHeight="1" x14ac:dyDescent="0.25">
      <c r="A41" s="24" t="s">
        <v>14</v>
      </c>
      <c r="B41" s="4" t="s">
        <v>68</v>
      </c>
      <c r="C41" s="21" t="s">
        <v>1</v>
      </c>
      <c r="D41" s="23">
        <v>1</v>
      </c>
      <c r="E41" s="25" t="s">
        <v>14</v>
      </c>
      <c r="F41" s="4" t="s">
        <v>19</v>
      </c>
      <c r="G41" s="21" t="s">
        <v>1</v>
      </c>
      <c r="H41" s="23">
        <v>7</v>
      </c>
      <c r="I41" s="25" t="s">
        <v>14</v>
      </c>
      <c r="J41" s="4" t="s">
        <v>75</v>
      </c>
      <c r="K41" s="21" t="s">
        <v>1</v>
      </c>
      <c r="L41" s="23">
        <v>28</v>
      </c>
      <c r="M41" s="25" t="s">
        <v>14</v>
      </c>
      <c r="N41" s="4" t="s">
        <v>55</v>
      </c>
      <c r="O41" s="21" t="s">
        <v>1</v>
      </c>
      <c r="P41" s="23">
        <v>5</v>
      </c>
      <c r="Q41" s="25"/>
      <c r="R41" s="4"/>
      <c r="S41" s="21"/>
      <c r="T41" s="23"/>
    </row>
    <row r="42" spans="1:20" ht="17.25" customHeight="1" x14ac:dyDescent="0.25">
      <c r="A42" s="24" t="s">
        <v>14</v>
      </c>
      <c r="B42" s="4" t="s">
        <v>16</v>
      </c>
      <c r="C42" s="21" t="s">
        <v>20</v>
      </c>
      <c r="D42" s="23">
        <v>15</v>
      </c>
      <c r="E42" s="25" t="s">
        <v>14</v>
      </c>
      <c r="F42" s="4" t="s">
        <v>65</v>
      </c>
      <c r="G42" s="21" t="s">
        <v>1</v>
      </c>
      <c r="H42" s="23">
        <v>1</v>
      </c>
      <c r="I42" s="25" t="s">
        <v>14</v>
      </c>
      <c r="J42" s="4" t="s">
        <v>187</v>
      </c>
      <c r="K42" s="21" t="s">
        <v>142</v>
      </c>
      <c r="L42" s="23">
        <v>20</v>
      </c>
      <c r="M42" s="25" t="s">
        <v>14</v>
      </c>
      <c r="N42" s="4" t="s">
        <v>42</v>
      </c>
      <c r="O42" s="21" t="s">
        <v>13</v>
      </c>
      <c r="P42" s="23">
        <v>9</v>
      </c>
      <c r="Q42" s="25"/>
      <c r="R42" s="4"/>
      <c r="S42" s="21"/>
      <c r="T42" s="23"/>
    </row>
    <row r="43" spans="1:20" ht="17.25" customHeight="1" x14ac:dyDescent="0.25">
      <c r="A43" s="24" t="s">
        <v>14</v>
      </c>
      <c r="B43" s="4" t="s">
        <v>140</v>
      </c>
      <c r="C43" s="21" t="s">
        <v>12</v>
      </c>
      <c r="D43" s="23">
        <v>1</v>
      </c>
      <c r="E43" s="25" t="s">
        <v>14</v>
      </c>
      <c r="F43" s="4" t="s">
        <v>200</v>
      </c>
      <c r="G43" s="21" t="s">
        <v>142</v>
      </c>
      <c r="H43" s="23">
        <v>17</v>
      </c>
      <c r="I43" s="25" t="s">
        <v>14</v>
      </c>
      <c r="J43" s="4" t="s">
        <v>108</v>
      </c>
      <c r="K43" s="21" t="s">
        <v>142</v>
      </c>
      <c r="L43" s="23">
        <v>4</v>
      </c>
      <c r="M43" s="25" t="s">
        <v>14</v>
      </c>
      <c r="N43" s="4" t="s">
        <v>56</v>
      </c>
      <c r="O43" s="21" t="s">
        <v>1</v>
      </c>
      <c r="P43" s="23">
        <v>13</v>
      </c>
      <c r="Q43" s="25"/>
      <c r="R43" s="4"/>
      <c r="S43" s="21"/>
      <c r="T43" s="23"/>
    </row>
    <row r="44" spans="1:20" ht="17.25" customHeight="1" x14ac:dyDescent="0.25">
      <c r="A44" s="24" t="s">
        <v>14</v>
      </c>
      <c r="B44" s="4" t="s">
        <v>69</v>
      </c>
      <c r="C44" s="21" t="s">
        <v>1</v>
      </c>
      <c r="D44" s="23">
        <v>4</v>
      </c>
      <c r="E44" s="26" t="s">
        <v>14</v>
      </c>
      <c r="F44" s="4" t="s">
        <v>258</v>
      </c>
      <c r="G44" s="21" t="s">
        <v>142</v>
      </c>
      <c r="H44" s="23">
        <v>2</v>
      </c>
      <c r="I44" s="26" t="s">
        <v>14</v>
      </c>
      <c r="J44" s="4" t="s">
        <v>244</v>
      </c>
      <c r="K44" s="21" t="s">
        <v>142</v>
      </c>
      <c r="L44" s="23">
        <v>2</v>
      </c>
      <c r="M44" s="26" t="s">
        <v>14</v>
      </c>
      <c r="N44" s="4" t="s">
        <v>57</v>
      </c>
      <c r="O44" s="21" t="s">
        <v>1</v>
      </c>
      <c r="P44" s="23">
        <v>15</v>
      </c>
      <c r="Q44" s="26"/>
      <c r="R44" s="4"/>
      <c r="S44" s="21"/>
      <c r="T44" s="23"/>
    </row>
    <row r="45" spans="1:20" ht="17.25" customHeight="1" x14ac:dyDescent="0.25">
      <c r="A45" s="24" t="s">
        <v>14</v>
      </c>
      <c r="B45" s="4" t="s">
        <v>231</v>
      </c>
      <c r="C45" s="21" t="s">
        <v>142</v>
      </c>
      <c r="D45" s="23">
        <v>8</v>
      </c>
      <c r="E45" s="26" t="s">
        <v>14</v>
      </c>
      <c r="F45" s="4" t="s">
        <v>261</v>
      </c>
      <c r="G45" s="21" t="s">
        <v>142</v>
      </c>
      <c r="H45" s="23">
        <v>1</v>
      </c>
      <c r="I45" s="26" t="s">
        <v>14</v>
      </c>
      <c r="J45" s="4" t="s">
        <v>267</v>
      </c>
      <c r="K45" s="21" t="s">
        <v>142</v>
      </c>
      <c r="L45" s="23">
        <v>2</v>
      </c>
      <c r="M45" s="26" t="s">
        <v>14</v>
      </c>
      <c r="N45" s="32" t="s">
        <v>245</v>
      </c>
      <c r="O45" s="21" t="s">
        <v>142</v>
      </c>
      <c r="P45" s="23">
        <v>2</v>
      </c>
      <c r="Q45" s="26"/>
      <c r="R45" s="4"/>
      <c r="S45" s="21"/>
      <c r="T45" s="23"/>
    </row>
    <row r="46" spans="1:20" ht="17.25" customHeight="1" x14ac:dyDescent="0.25">
      <c r="A46" s="24" t="s">
        <v>14</v>
      </c>
      <c r="B46" s="4" t="s">
        <v>233</v>
      </c>
      <c r="C46" s="21" t="s">
        <v>142</v>
      </c>
      <c r="D46" s="23">
        <v>10</v>
      </c>
      <c r="E46" s="26" t="s">
        <v>14</v>
      </c>
      <c r="F46" s="4" t="s">
        <v>123</v>
      </c>
      <c r="G46" s="21" t="s">
        <v>142</v>
      </c>
      <c r="H46" s="23">
        <v>3</v>
      </c>
      <c r="I46" s="26" t="s">
        <v>14</v>
      </c>
      <c r="J46" s="4" t="s">
        <v>279</v>
      </c>
      <c r="K46" s="21" t="s">
        <v>142</v>
      </c>
      <c r="L46" s="23">
        <v>1</v>
      </c>
      <c r="M46" s="26" t="s">
        <v>14</v>
      </c>
      <c r="N46" s="4" t="s">
        <v>278</v>
      </c>
      <c r="O46" s="21" t="s">
        <v>142</v>
      </c>
      <c r="P46" s="23">
        <v>4</v>
      </c>
      <c r="Q46" s="26"/>
      <c r="R46" s="4"/>
      <c r="S46" s="21"/>
      <c r="T46" s="23"/>
    </row>
    <row r="47" spans="1:20" ht="17.25" customHeight="1" thickBot="1" x14ac:dyDescent="0.3">
      <c r="A47" s="24" t="s">
        <v>14</v>
      </c>
      <c r="B47" s="4" t="s">
        <v>235</v>
      </c>
      <c r="C47" s="21" t="s">
        <v>142</v>
      </c>
      <c r="D47" s="23">
        <v>8</v>
      </c>
      <c r="E47" s="26" t="s">
        <v>14</v>
      </c>
      <c r="F47" s="4" t="s">
        <v>286</v>
      </c>
      <c r="G47" s="21" t="s">
        <v>142</v>
      </c>
      <c r="H47" s="23">
        <v>1</v>
      </c>
      <c r="I47" s="26" t="s">
        <v>14</v>
      </c>
      <c r="J47" s="4" t="s">
        <v>283</v>
      </c>
      <c r="K47" s="21" t="s">
        <v>142</v>
      </c>
      <c r="L47" s="23">
        <v>1</v>
      </c>
      <c r="M47" s="26" t="s">
        <v>14</v>
      </c>
      <c r="N47" s="3" t="s">
        <v>41</v>
      </c>
      <c r="O47" s="18" t="s">
        <v>13</v>
      </c>
      <c r="P47" s="19">
        <v>46</v>
      </c>
      <c r="Q47" s="26"/>
      <c r="R47" s="4"/>
      <c r="S47" s="21"/>
      <c r="T47" s="23"/>
    </row>
    <row r="48" spans="1:20" ht="17.25" customHeight="1" thickBot="1" x14ac:dyDescent="0.3">
      <c r="A48" s="17" t="s">
        <v>14</v>
      </c>
      <c r="B48" s="3" t="s">
        <v>242</v>
      </c>
      <c r="C48" s="18" t="s">
        <v>142</v>
      </c>
      <c r="D48" s="19">
        <v>3</v>
      </c>
      <c r="E48" s="20" t="s">
        <v>14</v>
      </c>
      <c r="F48" s="3" t="s">
        <v>290</v>
      </c>
      <c r="G48" s="18" t="s">
        <v>142</v>
      </c>
      <c r="H48" s="19">
        <v>1</v>
      </c>
      <c r="I48" s="20" t="s">
        <v>14</v>
      </c>
      <c r="J48" s="3" t="s">
        <v>284</v>
      </c>
      <c r="K48" s="18" t="s">
        <v>142</v>
      </c>
      <c r="L48" s="19">
        <v>3</v>
      </c>
      <c r="M48" s="20" t="s">
        <v>14</v>
      </c>
      <c r="N48" s="3" t="s">
        <v>285</v>
      </c>
      <c r="O48" s="18" t="s">
        <v>142</v>
      </c>
      <c r="P48" s="19">
        <v>1</v>
      </c>
      <c r="Q48" s="20"/>
      <c r="R48" s="3"/>
      <c r="S48" s="18"/>
      <c r="T48" s="19"/>
    </row>
    <row r="49" spans="1:20" s="32" customFormat="1" ht="17.25" customHeight="1" x14ac:dyDescent="0.3">
      <c r="A49" s="33"/>
      <c r="B49" s="34"/>
      <c r="C49" s="21"/>
      <c r="D49" s="25"/>
      <c r="E49" s="35"/>
      <c r="F49" s="4"/>
      <c r="G49" s="21"/>
      <c r="H49" s="25"/>
      <c r="I49" s="35"/>
      <c r="K49" s="33"/>
      <c r="L49" s="25"/>
      <c r="M49" s="35"/>
      <c r="N49" s="5"/>
      <c r="O49" s="14"/>
      <c r="P49" s="22"/>
      <c r="Q49" s="33"/>
      <c r="R49" s="4"/>
      <c r="S49" s="21"/>
      <c r="T49" s="22"/>
    </row>
    <row r="50" spans="1:20" ht="17.25" customHeight="1" x14ac:dyDescent="0.25">
      <c r="B50" s="4"/>
      <c r="C50" s="21"/>
      <c r="D50" s="25"/>
      <c r="L50" s="25"/>
      <c r="N50" s="4"/>
      <c r="O50" s="21"/>
      <c r="P50" s="25"/>
      <c r="T50" s="25"/>
    </row>
    <row r="51" spans="1:20" ht="17.25" customHeight="1" x14ac:dyDescent="0.25">
      <c r="D51" s="25"/>
      <c r="P51" s="36"/>
    </row>
    <row r="53" spans="1:20" s="38" customFormat="1" ht="17.25" customHeight="1" x14ac:dyDescent="0.3">
      <c r="A53" s="21"/>
      <c r="B53" s="37"/>
      <c r="E53" s="39"/>
      <c r="F53" s="40"/>
      <c r="G53" s="39"/>
      <c r="I53" s="39"/>
      <c r="J53" s="40"/>
      <c r="K53" s="39"/>
      <c r="M53" s="39"/>
      <c r="N53" s="40"/>
      <c r="Q53" s="39"/>
      <c r="R53" s="40"/>
    </row>
    <row r="54" spans="1:20" ht="17.25" customHeight="1" x14ac:dyDescent="0.25">
      <c r="B54" s="37"/>
      <c r="F54" s="37"/>
      <c r="J54" s="37"/>
      <c r="N54" s="37"/>
      <c r="R54" s="37"/>
    </row>
    <row r="55" spans="1:20" ht="17.25" customHeight="1" x14ac:dyDescent="0.25">
      <c r="B55" s="37"/>
      <c r="F55" s="37"/>
      <c r="J55" s="37"/>
      <c r="N55" s="37"/>
      <c r="R55" s="37"/>
    </row>
    <row r="56" spans="1:20" ht="17.25" customHeight="1" x14ac:dyDescent="0.25">
      <c r="B56" s="37"/>
      <c r="F56" s="37"/>
      <c r="J56" s="37"/>
      <c r="N56" s="37"/>
      <c r="R56" s="37"/>
    </row>
    <row r="57" spans="1:20" ht="17.25" customHeight="1" x14ac:dyDescent="0.25">
      <c r="B57" s="37"/>
      <c r="F57" s="37"/>
      <c r="J57" s="37"/>
      <c r="N57" s="37"/>
      <c r="R57" s="37"/>
    </row>
    <row r="58" spans="1:20" ht="17.25" customHeight="1" x14ac:dyDescent="0.25">
      <c r="B58" s="37"/>
      <c r="F58" s="37"/>
      <c r="J58" s="37"/>
      <c r="N58" s="37"/>
      <c r="R58" s="37"/>
    </row>
    <row r="59" spans="1:20" ht="17.25" customHeight="1" x14ac:dyDescent="0.25">
      <c r="B59" s="37"/>
      <c r="F59" s="37"/>
      <c r="J59" s="37"/>
      <c r="N59" s="37"/>
      <c r="R59" s="37"/>
    </row>
    <row r="60" spans="1:20" ht="17.25" customHeight="1" x14ac:dyDescent="0.25">
      <c r="B60" s="37"/>
      <c r="F60" s="37"/>
      <c r="N60" s="37"/>
      <c r="R60" s="37"/>
    </row>
    <row r="61" spans="1:20" ht="17.25" customHeight="1" x14ac:dyDescent="0.25">
      <c r="F61" s="37"/>
      <c r="N61" s="37"/>
      <c r="R61" s="37"/>
    </row>
    <row r="62" spans="1:20" ht="17.25" customHeight="1" x14ac:dyDescent="0.25">
      <c r="I62" s="37"/>
    </row>
    <row r="63" spans="1:20" s="38" customFormat="1" ht="17.25" customHeight="1" x14ac:dyDescent="0.3">
      <c r="A63" s="39"/>
      <c r="B63" s="40"/>
      <c r="E63" s="39"/>
      <c r="F63" s="40"/>
      <c r="G63" s="39"/>
      <c r="I63" s="39"/>
      <c r="J63" s="40"/>
      <c r="K63" s="39"/>
      <c r="M63" s="39"/>
      <c r="N63" s="40"/>
      <c r="Q63" s="39"/>
      <c r="R63" s="40"/>
    </row>
    <row r="64" spans="1:20" ht="17.25" customHeight="1" x14ac:dyDescent="0.25">
      <c r="B64" s="37"/>
      <c r="F64" s="37"/>
      <c r="H64" s="37"/>
      <c r="I64" s="37"/>
      <c r="J64" s="37"/>
      <c r="N64" s="37"/>
      <c r="R64" s="37"/>
    </row>
    <row r="65" spans="2:18" ht="17.25" customHeight="1" x14ac:dyDescent="0.25">
      <c r="B65" s="37"/>
      <c r="F65" s="37"/>
      <c r="J65" s="37"/>
      <c r="N65" s="37"/>
      <c r="R65" s="37"/>
    </row>
    <row r="66" spans="2:18" ht="17.25" customHeight="1" x14ac:dyDescent="0.25">
      <c r="B66" s="37"/>
      <c r="F66" s="37"/>
      <c r="J66" s="37"/>
      <c r="N66" s="37"/>
      <c r="R66" s="37"/>
    </row>
    <row r="67" spans="2:18" ht="17.25" customHeight="1" x14ac:dyDescent="0.25">
      <c r="B67" s="37"/>
      <c r="F67" s="37"/>
      <c r="J67" s="37"/>
      <c r="N67" s="37"/>
      <c r="R67" s="37"/>
    </row>
    <row r="68" spans="2:18" ht="17.25" customHeight="1" x14ac:dyDescent="0.25">
      <c r="B68" s="37"/>
      <c r="F68" s="37"/>
      <c r="I68" s="37"/>
      <c r="J68" s="37"/>
      <c r="N68" s="37"/>
      <c r="R68" s="37"/>
    </row>
    <row r="69" spans="2:18" ht="17.25" customHeight="1" x14ac:dyDescent="0.25">
      <c r="B69" s="37"/>
      <c r="F69" s="37"/>
      <c r="J69" s="37"/>
      <c r="N69" s="37"/>
      <c r="R69" s="37"/>
    </row>
    <row r="70" spans="2:18" ht="17.25" customHeight="1" x14ac:dyDescent="0.25">
      <c r="B70" s="37"/>
      <c r="F70" s="37"/>
      <c r="I70" s="37"/>
      <c r="J70" s="37"/>
      <c r="N70" s="37"/>
      <c r="R70" s="37"/>
    </row>
    <row r="71" spans="2:18" ht="17.25" customHeight="1" x14ac:dyDescent="0.25">
      <c r="F71" s="37"/>
      <c r="N71" s="37"/>
      <c r="R71" s="37"/>
    </row>
  </sheetData>
  <mergeCells count="10">
    <mergeCell ref="A1:D1"/>
    <mergeCell ref="E1:H1"/>
    <mergeCell ref="Q1:T1"/>
    <mergeCell ref="I1:L1"/>
    <mergeCell ref="M1:P1"/>
    <mergeCell ref="A25:D25"/>
    <mergeCell ref="E25:H25"/>
    <mergeCell ref="I25:L25"/>
    <mergeCell ref="M25:P25"/>
    <mergeCell ref="Q25:T25"/>
  </mergeCells>
  <phoneticPr fontId="0" type="noConversion"/>
  <printOptions horizontalCentered="1" verticalCentered="1"/>
  <pageMargins left="0.25" right="0.25" top="0.25" bottom="0.25" header="0.26" footer="0.25"/>
  <pageSetup scale="6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9"/>
  <sheetViews>
    <sheetView zoomScale="80" zoomScaleNormal="80" workbookViewId="0"/>
  </sheetViews>
  <sheetFormatPr defaultColWidth="10.44140625" defaultRowHeight="27" customHeight="1" x14ac:dyDescent="0.25"/>
  <cols>
    <col min="1" max="1" width="2.44140625" style="7" bestFit="1" customWidth="1"/>
    <col min="2" max="2" width="16" style="7" bestFit="1" customWidth="1"/>
    <col min="3" max="3" width="2.44140625" style="7" bestFit="1" customWidth="1"/>
    <col min="4" max="4" width="17.88671875" style="7" bestFit="1" customWidth="1"/>
    <col min="5" max="5" width="2.44140625" style="7" bestFit="1" customWidth="1"/>
    <col min="6" max="6" width="21.21875" style="7" bestFit="1" customWidth="1"/>
    <col min="7" max="7" width="2.44140625" style="7" bestFit="1" customWidth="1"/>
    <col min="8" max="8" width="17.88671875" style="7" bestFit="1" customWidth="1"/>
    <col min="9" max="9" width="2.44140625" style="7" bestFit="1" customWidth="1"/>
    <col min="10" max="10" width="18.5546875" style="7" bestFit="1" customWidth="1"/>
  </cols>
  <sheetData>
    <row r="1" spans="1:10" ht="28.8" customHeight="1" x14ac:dyDescent="0.3">
      <c r="A1" s="1"/>
      <c r="B1" s="1" t="s">
        <v>347</v>
      </c>
      <c r="C1" s="1"/>
      <c r="D1" s="1" t="s">
        <v>348</v>
      </c>
      <c r="E1" s="1"/>
      <c r="F1" s="1" t="s">
        <v>349</v>
      </c>
      <c r="G1" s="1"/>
      <c r="H1" s="1" t="s">
        <v>350</v>
      </c>
      <c r="I1" s="1"/>
      <c r="J1" s="1" t="s">
        <v>351</v>
      </c>
    </row>
    <row r="2" spans="1:10" ht="28.8" customHeight="1" x14ac:dyDescent="0.3">
      <c r="A2" s="1">
        <v>1</v>
      </c>
      <c r="B2" s="10" t="s">
        <v>291</v>
      </c>
      <c r="C2" s="1">
        <v>1</v>
      </c>
      <c r="D2" s="10" t="s">
        <v>292</v>
      </c>
      <c r="E2" s="1">
        <v>1</v>
      </c>
      <c r="F2" s="10" t="s">
        <v>125</v>
      </c>
      <c r="G2" s="1">
        <v>1</v>
      </c>
      <c r="H2" s="10" t="s">
        <v>293</v>
      </c>
      <c r="I2" s="1">
        <v>1</v>
      </c>
      <c r="J2" s="10" t="s">
        <v>294</v>
      </c>
    </row>
    <row r="3" spans="1:10" ht="28.8" customHeight="1" x14ac:dyDescent="0.3">
      <c r="A3" s="1">
        <v>2</v>
      </c>
      <c r="B3" s="10" t="s">
        <v>307</v>
      </c>
      <c r="C3" s="1">
        <v>2</v>
      </c>
      <c r="D3" s="10" t="s">
        <v>306</v>
      </c>
      <c r="E3" s="1">
        <v>2</v>
      </c>
      <c r="F3" s="10" t="s">
        <v>305</v>
      </c>
      <c r="G3" s="1">
        <v>2</v>
      </c>
      <c r="H3" s="10" t="s">
        <v>304</v>
      </c>
      <c r="I3" s="1">
        <v>2</v>
      </c>
      <c r="J3" s="10" t="s">
        <v>303</v>
      </c>
    </row>
    <row r="4" spans="1:10" ht="28.8" customHeight="1" x14ac:dyDescent="0.3">
      <c r="A4" s="1">
        <v>3</v>
      </c>
      <c r="B4" s="10" t="s">
        <v>308</v>
      </c>
      <c r="C4" s="1">
        <v>3</v>
      </c>
      <c r="D4" s="10" t="s">
        <v>309</v>
      </c>
      <c r="E4" s="1">
        <v>3</v>
      </c>
      <c r="F4" s="10" t="s">
        <v>310</v>
      </c>
      <c r="G4" s="1">
        <v>3</v>
      </c>
      <c r="H4" s="10" t="s">
        <v>311</v>
      </c>
      <c r="I4" s="1">
        <v>3</v>
      </c>
      <c r="J4" s="10" t="s">
        <v>312</v>
      </c>
    </row>
    <row r="5" spans="1:10" ht="28.8" customHeight="1" x14ac:dyDescent="0.3">
      <c r="A5" s="1">
        <v>4</v>
      </c>
      <c r="B5" s="10" t="s">
        <v>325</v>
      </c>
      <c r="C5" s="1">
        <v>4</v>
      </c>
      <c r="D5" s="10" t="s">
        <v>324</v>
      </c>
      <c r="E5" s="1">
        <v>4</v>
      </c>
      <c r="F5" s="10" t="s">
        <v>323</v>
      </c>
      <c r="G5" s="1">
        <v>4</v>
      </c>
      <c r="H5" s="10" t="s">
        <v>322</v>
      </c>
      <c r="I5" s="1">
        <v>4</v>
      </c>
      <c r="J5" s="10" t="s">
        <v>321</v>
      </c>
    </row>
    <row r="6" spans="1:10" ht="28.8" customHeight="1" x14ac:dyDescent="0.3">
      <c r="A6" s="1">
        <v>5</v>
      </c>
      <c r="B6" s="10" t="s">
        <v>326</v>
      </c>
      <c r="C6" s="1">
        <v>5</v>
      </c>
      <c r="D6" s="10" t="s">
        <v>327</v>
      </c>
      <c r="E6" s="1">
        <v>5</v>
      </c>
      <c r="F6" s="10" t="s">
        <v>328</v>
      </c>
      <c r="G6" s="1">
        <v>5</v>
      </c>
      <c r="H6" s="10" t="s">
        <v>329</v>
      </c>
      <c r="I6" s="1">
        <v>5</v>
      </c>
      <c r="J6" s="10" t="s">
        <v>330</v>
      </c>
    </row>
    <row r="7" spans="1:10" ht="28.8" customHeight="1" x14ac:dyDescent="0.3">
      <c r="A7" s="1">
        <v>6</v>
      </c>
      <c r="B7" s="10" t="s">
        <v>342</v>
      </c>
      <c r="C7" s="1">
        <v>6</v>
      </c>
      <c r="D7" s="10" t="s">
        <v>341</v>
      </c>
      <c r="E7" s="1">
        <v>6</v>
      </c>
      <c r="F7" s="10" t="s">
        <v>340</v>
      </c>
      <c r="G7" s="1">
        <v>6</v>
      </c>
      <c r="H7" s="10" t="s">
        <v>339</v>
      </c>
      <c r="I7" s="1">
        <v>6</v>
      </c>
      <c r="J7" s="10" t="s">
        <v>338</v>
      </c>
    </row>
    <row r="8" spans="1:10" ht="28.8" customHeight="1" x14ac:dyDescent="0.3">
      <c r="A8" s="1">
        <v>7</v>
      </c>
      <c r="B8" s="10" t="s">
        <v>110</v>
      </c>
      <c r="C8" s="1">
        <v>7</v>
      </c>
      <c r="D8" s="10" t="s">
        <v>343</v>
      </c>
      <c r="E8" s="1">
        <v>7</v>
      </c>
      <c r="F8" s="10" t="s">
        <v>344</v>
      </c>
      <c r="G8" s="1">
        <v>7</v>
      </c>
      <c r="H8" s="10" t="s">
        <v>345</v>
      </c>
      <c r="I8" s="1">
        <v>7</v>
      </c>
      <c r="J8" s="10" t="s">
        <v>414</v>
      </c>
    </row>
    <row r="9" spans="1:10" ht="28.8" customHeight="1" x14ac:dyDescent="0.3">
      <c r="A9" s="1">
        <v>8</v>
      </c>
      <c r="B9" s="10" t="s">
        <v>417</v>
      </c>
      <c r="C9" s="1">
        <v>8</v>
      </c>
      <c r="D9" s="10" t="s">
        <v>105</v>
      </c>
      <c r="E9" s="1">
        <v>8</v>
      </c>
      <c r="F9" s="10" t="s">
        <v>416</v>
      </c>
      <c r="G9" s="1">
        <v>8</v>
      </c>
      <c r="H9" s="10" t="s">
        <v>119</v>
      </c>
      <c r="I9" s="1">
        <v>8</v>
      </c>
      <c r="J9" s="10" t="s">
        <v>415</v>
      </c>
    </row>
    <row r="10" spans="1:10" ht="28.8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28.8" customHeight="1" x14ac:dyDescent="0.3">
      <c r="A11" s="1"/>
      <c r="B11" s="1" t="s">
        <v>352</v>
      </c>
      <c r="C11" s="1"/>
      <c r="D11" s="1" t="s">
        <v>353</v>
      </c>
      <c r="E11" s="1"/>
      <c r="F11" s="1" t="s">
        <v>354</v>
      </c>
      <c r="G11" s="1"/>
      <c r="H11" s="1" t="s">
        <v>355</v>
      </c>
    </row>
    <row r="12" spans="1:10" ht="28.8" customHeight="1" x14ac:dyDescent="0.3">
      <c r="A12" s="1">
        <v>1</v>
      </c>
      <c r="B12" s="10" t="s">
        <v>295</v>
      </c>
      <c r="C12" s="1">
        <v>1</v>
      </c>
      <c r="D12" s="10" t="s">
        <v>296</v>
      </c>
      <c r="E12" s="1">
        <v>1</v>
      </c>
      <c r="F12" s="10" t="s">
        <v>297</v>
      </c>
      <c r="G12" s="1">
        <v>1</v>
      </c>
      <c r="H12" s="10" t="s">
        <v>298</v>
      </c>
    </row>
    <row r="13" spans="1:10" ht="28.8" customHeight="1" x14ac:dyDescent="0.3">
      <c r="A13" s="1">
        <v>2</v>
      </c>
      <c r="B13" s="10" t="s">
        <v>302</v>
      </c>
      <c r="C13" s="1">
        <v>2</v>
      </c>
      <c r="D13" s="10" t="s">
        <v>301</v>
      </c>
      <c r="E13" s="1">
        <v>2</v>
      </c>
      <c r="F13" s="10" t="s">
        <v>300</v>
      </c>
      <c r="G13" s="1">
        <v>2</v>
      </c>
      <c r="H13" s="10" t="s">
        <v>299</v>
      </c>
    </row>
    <row r="14" spans="1:10" ht="28.8" customHeight="1" x14ac:dyDescent="0.3">
      <c r="A14" s="1">
        <v>3</v>
      </c>
      <c r="B14" s="10" t="s">
        <v>313</v>
      </c>
      <c r="C14" s="1">
        <v>3</v>
      </c>
      <c r="D14" s="10" t="s">
        <v>314</v>
      </c>
      <c r="E14" s="1">
        <v>3</v>
      </c>
      <c r="F14" s="10" t="s">
        <v>315</v>
      </c>
      <c r="G14" s="1">
        <v>3</v>
      </c>
      <c r="H14" s="10" t="s">
        <v>316</v>
      </c>
    </row>
    <row r="15" spans="1:10" ht="28.8" customHeight="1" x14ac:dyDescent="0.3">
      <c r="A15" s="1">
        <v>4</v>
      </c>
      <c r="B15" s="10" t="s">
        <v>320</v>
      </c>
      <c r="C15" s="1">
        <v>4</v>
      </c>
      <c r="D15" s="10" t="s">
        <v>319</v>
      </c>
      <c r="E15" s="1">
        <v>4</v>
      </c>
      <c r="F15" s="10" t="s">
        <v>318</v>
      </c>
      <c r="G15" s="1">
        <v>4</v>
      </c>
      <c r="H15" s="10" t="s">
        <v>317</v>
      </c>
    </row>
    <row r="16" spans="1:10" ht="28.8" customHeight="1" x14ac:dyDescent="0.3">
      <c r="A16" s="1">
        <v>5</v>
      </c>
      <c r="B16" s="10" t="s">
        <v>331</v>
      </c>
      <c r="C16" s="1">
        <v>5</v>
      </c>
      <c r="D16" s="10" t="s">
        <v>332</v>
      </c>
      <c r="E16" s="1">
        <v>5</v>
      </c>
      <c r="F16" s="10" t="s">
        <v>107</v>
      </c>
      <c r="G16" s="1">
        <v>5</v>
      </c>
      <c r="H16" s="10" t="s">
        <v>333</v>
      </c>
    </row>
    <row r="17" spans="1:8" ht="28.8" customHeight="1" x14ac:dyDescent="0.3">
      <c r="A17" s="1">
        <v>6</v>
      </c>
      <c r="B17" s="10" t="s">
        <v>337</v>
      </c>
      <c r="C17" s="1">
        <v>6</v>
      </c>
      <c r="D17" s="10" t="s">
        <v>336</v>
      </c>
      <c r="E17" s="1">
        <v>6</v>
      </c>
      <c r="F17" s="10" t="s">
        <v>335</v>
      </c>
      <c r="G17" s="1">
        <v>6</v>
      </c>
      <c r="H17" s="10" t="s">
        <v>334</v>
      </c>
    </row>
    <row r="18" spans="1:8" ht="28.8" customHeight="1" x14ac:dyDescent="0.3">
      <c r="A18" s="1">
        <v>7</v>
      </c>
      <c r="B18" s="10" t="s">
        <v>418</v>
      </c>
      <c r="C18" s="1">
        <v>7</v>
      </c>
      <c r="D18" s="10" t="s">
        <v>420</v>
      </c>
      <c r="E18" s="1">
        <v>7</v>
      </c>
      <c r="F18" s="10" t="s">
        <v>422</v>
      </c>
      <c r="G18" s="1">
        <v>7</v>
      </c>
      <c r="H18" s="10" t="s">
        <v>424</v>
      </c>
    </row>
    <row r="19" spans="1:8" ht="28.8" customHeight="1" x14ac:dyDescent="0.3">
      <c r="A19" s="1">
        <v>8</v>
      </c>
      <c r="B19" s="10" t="s">
        <v>419</v>
      </c>
      <c r="C19" s="1">
        <v>8</v>
      </c>
      <c r="D19" s="10" t="s">
        <v>421</v>
      </c>
      <c r="E19" s="1">
        <v>8</v>
      </c>
      <c r="F19" s="10" t="s">
        <v>423</v>
      </c>
      <c r="G19" s="1">
        <v>8</v>
      </c>
      <c r="H19" s="10" t="s">
        <v>346</v>
      </c>
    </row>
  </sheetData>
  <pageMargins left="0.2" right="0.2" top="0.5" bottom="0.5" header="0.05" footer="0.05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Pre-Draft Roster</vt:lpstr>
      <vt:lpstr>Minors</vt:lpstr>
      <vt:lpstr>Draft</vt:lpstr>
      <vt:lpstr>Final Roster</vt:lpstr>
      <vt:lpstr>Taxi</vt:lpstr>
      <vt:lpstr>'Final Roster'!Print_Area</vt:lpstr>
      <vt:lpstr>Taxi!Print_Area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1970-01-01T04:00:00Z</cp:lastPrinted>
  <dcterms:created xsi:type="dcterms:W3CDTF">1970-01-01T04:00:00Z</dcterms:created>
  <dcterms:modified xsi:type="dcterms:W3CDTF">2026-04-09T16:31:28Z</dcterms:modified>
</cp:coreProperties>
</file>